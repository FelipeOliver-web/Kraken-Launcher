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SEREINALDOGOMESBEZ\Downloads\"/>
    </mc:Choice>
  </mc:AlternateContent>
  <xr:revisionPtr revIDLastSave="0" documentId="8_{57909107-ED4B-458B-83BC-136BC257D44E}" xr6:coauthVersionLast="47" xr6:coauthVersionMax="47" xr10:uidLastSave="{00000000-0000-0000-0000-000000000000}"/>
  <bookViews>
    <workbookView xWindow="-120" yWindow="-120" windowWidth="24240" windowHeight="13290" firstSheet="3" activeTab="3" xr2:uid="{00000000-000D-0000-FFFF-FFFF00000000}"/>
  </bookViews>
  <sheets>
    <sheet name="Gráfico3" sheetId="5" state="hidden" r:id="rId1"/>
    <sheet name="Gráfico2" sheetId="4" state="hidden" r:id="rId2"/>
    <sheet name="Gráfico1" sheetId="3" state="hidden" r:id="rId3"/>
    <sheet name="Casos de Testes Funcionais - Li" sheetId="1" r:id="rId4"/>
    <sheet name="Casos de Testes Funcionais - Pe" sheetId="2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F8" i="2"/>
  <c r="E8" i="2"/>
  <c r="D8" i="2"/>
  <c r="D9" i="2" s="1"/>
  <c r="D9" i="1" l="1"/>
</calcChain>
</file>

<file path=xl/sharedStrings.xml><?xml version="1.0" encoding="utf-8"?>
<sst xmlns="http://schemas.openxmlformats.org/spreadsheetml/2006/main" count="412" uniqueCount="139">
  <si>
    <t>Especificação Casos de Testes</t>
  </si>
  <si>
    <t>Versão:</t>
  </si>
  <si>
    <t>1.0</t>
  </si>
  <si>
    <t>Data:</t>
  </si>
  <si>
    <t>Casos de Teste Funcionais</t>
  </si>
  <si>
    <t>SUMÁRIO:</t>
  </si>
  <si>
    <t>TOTAL DE CT</t>
  </si>
  <si>
    <t xml:space="preserve"> </t>
  </si>
  <si>
    <t>CT_01</t>
  </si>
  <si>
    <t>SUCESSO</t>
  </si>
  <si>
    <t>Pré-condição:</t>
  </si>
  <si>
    <t>O usuário deverá esta autenticado no sistema e possuir permissão de Gestão para executar as funcionalidade sob autorização do sistema de Gestão de acessos</t>
  </si>
  <si>
    <t>Passo</t>
  </si>
  <si>
    <t>Ação</t>
  </si>
  <si>
    <t>Dados de Entrada</t>
  </si>
  <si>
    <t>Resultado Esperado</t>
  </si>
  <si>
    <t>Observações</t>
  </si>
  <si>
    <t>ID Issue(s)</t>
  </si>
  <si>
    <t>Bugs</t>
  </si>
  <si>
    <t>Melhorias</t>
  </si>
  <si>
    <t>-</t>
  </si>
  <si>
    <t>CT_02</t>
  </si>
  <si>
    <t>ORDENAR LISTA DE PSCIP PARA DISTRIBUIÇÃO POR DATA DE SOLICITAÇÃO CRESCENTE</t>
  </si>
  <si>
    <t xml:space="preserve">O fluxo se inicia quando o Usuário Gestor </t>
  </si>
  <si>
    <t>clicar na coluna "Data da Solicitação" no componente ordenação</t>
  </si>
  <si>
    <t>O sistema odena os registros em ordem crescente da data maior para a menor nos registros</t>
  </si>
  <si>
    <t>CT_03</t>
  </si>
  <si>
    <t>ORDENAR LISTA DE PSCIP PARA DISTRIBUIÇÃO POR DATA DE SOLICITAÇÃO DECRESCENTE</t>
  </si>
  <si>
    <t>Usuário com perfil Gestor</t>
  </si>
  <si>
    <t>O sistema odena os registros em ordem decrescente da data menor para a maior nos registros</t>
  </si>
  <si>
    <t>CT_04</t>
  </si>
  <si>
    <t>VISUALIZAR UM PSCIP PARA DISTRIBUIÇÃO</t>
  </si>
  <si>
    <t xml:space="preserve">O usuário Gestor deseja visualizar um PSCIP </t>
  </si>
  <si>
    <t xml:space="preserve">Na listagem dos PSCIPs para distribuição na coluna açãoes, o gestor clicar no botão "Visualizar" </t>
  </si>
  <si>
    <t>O sistema carrega a página do PSCIP Identificação da Edificação/Local de Risco</t>
  </si>
  <si>
    <t>CT_05</t>
  </si>
  <si>
    <t>SELECIONAR UM NÍVEL DE DIFICULDADE PARA DISTRIBUIÇÃO DE UM PSCIP</t>
  </si>
  <si>
    <t xml:space="preserve">O usuário Gestor deseja selecIonar um nível de dificuldade </t>
  </si>
  <si>
    <t xml:space="preserve">Na listagem dos PSCIPs para distribuição na coluna "Nível de Dificuldades" p gestpr clicar na caixa de seleções
</t>
  </si>
  <si>
    <t>O sistema carrega as opções: Baixo, Médio e Alto para seleção</t>
  </si>
  <si>
    <t>CT_06</t>
  </si>
  <si>
    <t>ENCAMINHAR UM PSCIP PARA DISTRIBUIÇÃO COM STATUS “AGUARDANDO ANALISE”</t>
  </si>
  <si>
    <t>PSCIP com status Aguardando Análise</t>
  </si>
  <si>
    <t>O usuário Gestor deseja encaminhar um PSCIP para distribuição com o status "Aguardando Análise"</t>
  </si>
  <si>
    <t>Na listagem dos PSCIPs para distribuição identificar um PSCIP no status "Aguardando Análise"</t>
  </si>
  <si>
    <t xml:space="preserve">- </t>
  </si>
  <si>
    <t>O usuário Gestor seleciona um nível de dificuldades na coluna "Nível de Dificuldades"</t>
  </si>
  <si>
    <t>Clicar no botão Encaminhar</t>
  </si>
  <si>
    <t xml:space="preserve">O sistema deverá apresentar a Modal "Encaminhamento para Analista" com as opções de seleção Unidade CBM/MT e Analsta </t>
  </si>
  <si>
    <t>O usuário Gestor seleciona uma Unidade CBM/MT disponível</t>
  </si>
  <si>
    <t>O usuário Gestor seleciona uma Analista para essa Unidade CBM/MT disponível</t>
  </si>
  <si>
    <t>Clicar no botão Enviar</t>
  </si>
  <si>
    <t xml:space="preserve">O sistema apresenta uma mensagem "PSCIP não possui isenção" </t>
  </si>
  <si>
    <t>CT_07</t>
  </si>
  <si>
    <t>ENCAMINHAR UM PSCIP PARA DISTRIBUIÇÃO COM STATUS “ISENTO”</t>
  </si>
  <si>
    <t>O usuário Gestor deseja encaminhar um PSCIP para distribuição com o status "Isento"</t>
  </si>
  <si>
    <t>Na listagem dos PSCIPs para distribuição identificar um PSCIP no status "Isento"</t>
  </si>
  <si>
    <t>O sistema atualiza a coluna, removendo o registro da listagem dos PSCIPs</t>
  </si>
  <si>
    <t>CT_09</t>
  </si>
  <si>
    <t>ENCAMINHAR UM PSCIP PARA DISTRIBUIÇÃO COM STATUS “ISENTO” SEM INFORMAR UMA UNIDADE CBM/MT</t>
  </si>
  <si>
    <t xml:space="preserve">O usuário Gestor não seleciona uma Unidade CBM/MT </t>
  </si>
  <si>
    <t xml:space="preserve">O sistema apresenta uma mensagem "Favor adicionar ao menos um Analista" </t>
  </si>
  <si>
    <t>CT_10</t>
  </si>
  <si>
    <t>ENCAMINHAR UM PSCIP PARA DISTRIBUIÇÃO COM STATUS “ISENTO” SEM INFORMAR UM ANALISTA</t>
  </si>
  <si>
    <t xml:space="preserve">O usuário Gestor não seleciona uma Analista </t>
  </si>
  <si>
    <t>CT_11</t>
  </si>
  <si>
    <t>ENCAMINHAR UM PSCIP PARA DISTRIBUIÇÃO COM STATUS “AGUARDANDO PAGAMENTO”</t>
  </si>
  <si>
    <t>O usuário Gestor deseja encaminhar um PSCIP para distribuição com o status "Aguardando Pagamento"</t>
  </si>
  <si>
    <t>Na listagem dos PSCIPs para distribuição identificar um PSCIP no status "Aguardando Pagamento"</t>
  </si>
  <si>
    <t xml:space="preserve">O sistema apresenta uma mensagem "Boleto não pago" </t>
  </si>
  <si>
    <t>CT_12</t>
  </si>
  <si>
    <t>ENCAMINHAR UM PSCIP PARA DISTRIBUIÇÃO COM STATUS “VENCIDO”</t>
  </si>
  <si>
    <t>O usuário Gestor deseja encaminhar um PSCIP para distribuição com o status "Vencido"</t>
  </si>
  <si>
    <t>Na listagem dos PSCIPs para distribuição identificar um PSCIP no status "Vencido"</t>
  </si>
  <si>
    <t xml:space="preserve">REALIZAR PAGINAÇÃO DE UMA LISTAGEM DE PSCIP </t>
  </si>
  <si>
    <t>Ter Uma lista de PSCIPs cadastrado no sistema para esse usuário</t>
  </si>
  <si>
    <t xml:space="preserve">Na listagem dos PSCIPs para distribuição, clicar no componente de paginação </t>
  </si>
  <si>
    <t xml:space="preserve">O sistema pagina os registros na grid </t>
  </si>
  <si>
    <t>PESQUISAR FILTROS CAMPOS VAZIOS</t>
  </si>
  <si>
    <t>O usuário deverá está autenticado no sistema e possuir permissão de Responsável técnico para executar as funcionalidades sob autorização do sistema de responsável técnico de acessos</t>
  </si>
  <si>
    <t>Usuário acessar PSCIP no Menu Home</t>
  </si>
  <si>
    <t>Sistema deverá apresentar as colunas Protocolo/PSCIP, Data da Solicitação, Nome/Razão Social, Cidade, Tipo Processo, Analista, Status, Data do Último Andamento, Dias em espera (último andamento), Ações</t>
  </si>
  <si>
    <t>CT_08</t>
  </si>
  <si>
    <t>Usuáro acessar PSCIP Analise na Menu Home</t>
  </si>
  <si>
    <t>Plano de testes</t>
  </si>
  <si>
    <t>Nome do caso</t>
  </si>
  <si>
    <t>Home Screen</t>
  </si>
  <si>
    <t>Tela inicial Do Kraken Launcher</t>
  </si>
  <si>
    <t>O usuário deverá ver a tela inicial e executar suas ações</t>
  </si>
  <si>
    <t>scroll livre pela home</t>
  </si>
  <si>
    <t>o usuário deverá poder navegar com o scroll do mouse</t>
  </si>
  <si>
    <t>a barra de pesquisas deve retornar o valor esperado</t>
  </si>
  <si>
    <t xml:space="preserve"> barra de pesquisas </t>
  </si>
  <si>
    <t>banco de dados</t>
  </si>
  <si>
    <t>o banco mysql deverá mostrar todos os jogos</t>
  </si>
  <si>
    <t>biblioteca</t>
  </si>
  <si>
    <t>o usuário deverá ver a biblioteca</t>
  </si>
  <si>
    <t>Funcionalidades</t>
  </si>
  <si>
    <t>O usuário deverá conseguir interagir com as funcionalidades</t>
  </si>
  <si>
    <t>Ver na Steam</t>
  </si>
  <si>
    <t>deverá abrir a página da steam do jogo</t>
  </si>
  <si>
    <t>Favoritar</t>
  </si>
  <si>
    <t>O usuário deverá favoritar o jogo escolhido e ele irá sumir da HOME</t>
  </si>
  <si>
    <t>Biblioteca</t>
  </si>
  <si>
    <t>Deverá ter os jogos favoritados</t>
  </si>
  <si>
    <t>criar conta</t>
  </si>
  <si>
    <t>Deverá Abrir um modal de criação de conta e login</t>
  </si>
  <si>
    <t>Sobre nós</t>
  </si>
  <si>
    <t>SearchBar: Funciona apenas na tela home</t>
  </si>
  <si>
    <t>abre uma tela de história do kraken</t>
  </si>
  <si>
    <t>Contato</t>
  </si>
  <si>
    <t>Deverá abrir um modal que mostra os integrantes do grupo e deverá redirecionar ao whatsapp de cada membro</t>
  </si>
  <si>
    <t>Agradecimentos</t>
  </si>
  <si>
    <t>deverá agradeçer o professor</t>
  </si>
  <si>
    <t>Criar Conta</t>
  </si>
  <si>
    <t>Deverá Criar a conta do usuario ou login</t>
  </si>
  <si>
    <t>Nome</t>
  </si>
  <si>
    <t>Email</t>
  </si>
  <si>
    <t>Senha</t>
  </si>
  <si>
    <t>Confirmar Senha</t>
  </si>
  <si>
    <t>Deve ser do tipo texto</t>
  </si>
  <si>
    <t>Deve ser do tipo email</t>
  </si>
  <si>
    <t>Deve esconder a senha</t>
  </si>
  <si>
    <t>Deve Confirmar o campo senha</t>
  </si>
  <si>
    <t>Entrar: Email</t>
  </si>
  <si>
    <t>Entrar: Senha</t>
  </si>
  <si>
    <t>Deve puxar o email do Banco De Dados</t>
  </si>
  <si>
    <t>Esconde a senha e puxa o Banco de Dados</t>
  </si>
  <si>
    <t>Painel Admin</t>
  </si>
  <si>
    <t>aparecerá o painel "Admin" na Home</t>
  </si>
  <si>
    <t>Admin</t>
  </si>
  <si>
    <t>Editar Jogo</t>
  </si>
  <si>
    <t>Poderá editar jogo</t>
  </si>
  <si>
    <t>Excluir Jogo</t>
  </si>
  <si>
    <t>Poderá Excluir o jogo</t>
  </si>
  <si>
    <t>Adicionar Jogo</t>
  </si>
  <si>
    <t>Deverá Adicionar um jogo mostrando no fim da página os links de imagem e do jogo</t>
  </si>
  <si>
    <t>Clientes</t>
  </si>
  <si>
    <t>Deverá adicionar um cliete, ver a lista e excluir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</si>
</sst>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4"/>
      <color rgb="FF000000"/>
      <name val="Calibri"/>
    </font>
    <font>
      <sz val="10"/>
      <name val="Arial"/>
    </font>
    <font>
      <b/>
      <sz val="11"/>
      <color rgb="FF000000"/>
      <name val="Calibri"/>
    </font>
    <font>
      <b/>
      <sz val="18"/>
      <color rgb="FF000000"/>
      <name val="Calibri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92D050"/>
      </patternFill>
    </fill>
    <fill>
      <patternFill patternType="solid">
        <fgColor rgb="FFFF5B5B"/>
        <bgColor rgb="FFFF5B5B"/>
      </patternFill>
    </fill>
    <fill>
      <patternFill patternType="solid">
        <fgColor rgb="FFA6A6A6"/>
        <bgColor rgb="FFA6A6A6"/>
      </patternFill>
    </fill>
    <fill>
      <patternFill patternType="solid">
        <fgColor rgb="FFFCE4D6"/>
        <bgColor rgb="FFFCE4D6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80808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/>
    <xf numFmtId="0" fontId="4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6" fillId="0" borderId="0" xfId="0" applyFont="1"/>
    <xf numFmtId="0" fontId="1" fillId="2" borderId="7" xfId="0" applyFont="1" applyFill="1" applyBorder="1" applyAlignment="1">
      <alignment horizontal="right"/>
    </xf>
    <xf numFmtId="0" fontId="1" fillId="9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left" vertical="center"/>
    </xf>
    <xf numFmtId="0" fontId="6" fillId="10" borderId="0" xfId="0" applyFont="1" applyFill="1"/>
    <xf numFmtId="0" fontId="6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4" fillId="9" borderId="5" xfId="0" applyFont="1" applyFill="1" applyBorder="1" applyAlignment="1">
      <alignment horizontal="left"/>
    </xf>
    <xf numFmtId="0" fontId="3" fillId="0" borderId="5" xfId="0" applyFont="1" applyBorder="1"/>
    <xf numFmtId="0" fontId="3" fillId="0" borderId="6" xfId="0" applyFont="1" applyBorder="1"/>
    <xf numFmtId="0" fontId="1" fillId="2" borderId="8" xfId="0" applyFont="1" applyFill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1" fillId="9" borderId="0" xfId="0" applyFont="1" applyFill="1" applyAlignment="1">
      <alignment horizontal="center"/>
    </xf>
    <xf numFmtId="0" fontId="0" fillId="0" borderId="0" xfId="0"/>
    <xf numFmtId="0" fontId="1" fillId="2" borderId="11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wrapText="1"/>
    </xf>
    <xf numFmtId="0" fontId="4" fillId="4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2" xfId="0" applyFont="1" applyBorder="1"/>
    <xf numFmtId="0" fontId="4" fillId="2" borderId="0" xfId="0" applyFont="1" applyFill="1" applyAlignment="1">
      <alignment horizontal="right"/>
    </xf>
    <xf numFmtId="14" fontId="1" fillId="2" borderId="0" xfId="0" applyNumberFormat="1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3" xfId="0" applyFont="1" applyBorder="1"/>
    <xf numFmtId="0" fontId="1" fillId="2" borderId="14" xfId="0" applyFont="1" applyFill="1" applyBorder="1" applyAlignment="1">
      <alignment horizontal="center" wrapText="1"/>
    </xf>
    <xf numFmtId="0" fontId="3" fillId="0" borderId="15" xfId="0" applyFont="1" applyBorder="1"/>
    <xf numFmtId="0" fontId="3" fillId="0" borderId="16" xfId="0" applyFont="1" applyBorder="1"/>
    <xf numFmtId="0" fontId="5" fillId="4" borderId="0" xfId="0" applyFont="1" applyFill="1" applyAlignment="1">
      <alignment horizontal="left"/>
    </xf>
    <xf numFmtId="0" fontId="1" fillId="2" borderId="1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9" borderId="5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6" fillId="0" borderId="12" xfId="0" applyFont="1" applyBorder="1"/>
    <xf numFmtId="0" fontId="6" fillId="0" borderId="13" xfId="0" applyFont="1" applyBorder="1"/>
    <xf numFmtId="0" fontId="1" fillId="2" borderId="12" xfId="0" applyFont="1" applyFill="1" applyBorder="1" applyAlignment="1">
      <alignment horizontal="left" wrapText="1"/>
    </xf>
    <xf numFmtId="0" fontId="1" fillId="2" borderId="13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/>
    </xf>
    <xf numFmtId="0" fontId="4" fillId="9" borderId="6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4" fillId="4" borderId="17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Li'!$B$7:$P$7</c:f>
              <c:numCache>
                <c:formatCode>General</c:formatCode>
                <c:ptCount val="1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C-42D3-9E87-606B5CD7AC7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Li'!$B$8:$P$8</c:f>
              <c:numCache>
                <c:formatCode>General</c:formatCode>
                <c:ptCount val="15"/>
                <c:pt idx="0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C-42D3-9E87-606B5CD7AC7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Li'!$B$9:$P$9</c:f>
              <c:numCache>
                <c:formatCode>General</c:formatCode>
                <c:ptCount val="15"/>
                <c:pt idx="0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C-42D3-9E87-606B5CD7AC7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Li'!$B$10:$P$10</c:f>
              <c:numCache>
                <c:formatCode>General</c:formatCode>
                <c:ptCount val="1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7C-42D3-9E87-606B5CD7AC7C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Li'!$B$11:$P$11</c:f>
              <c:numCache>
                <c:formatCode>General</c:formatCode>
                <c:ptCount val="1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7C-42D3-9E87-606B5CD7AC7C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Li'!$B$12:$P$12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7C-42D3-9E87-606B5CD7AC7C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Li'!$B$13:$P$13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7C-42D3-9E87-606B5CD7AC7C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Li'!$B$14:$P$14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5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7C-42D3-9E87-606B5CD7AC7C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Li'!$B$15:$P$15</c:f>
              <c:numCache>
                <c:formatCode>General</c:formatCode>
                <c:ptCount val="15"/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7C-42D3-9E87-606B5CD7AC7C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Li'!$B$16:$P$16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7C-42D3-9E87-606B5CD7AC7C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Li'!$B$17:$P$17</c:f>
              <c:numCache>
                <c:formatCode>General</c:formatCode>
                <c:ptCount val="15"/>
                <c:pt idx="0">
                  <c:v>2</c:v>
                </c:pt>
                <c:pt idx="1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7C-42D3-9E87-606B5CD7AC7C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Li'!$B$18:$P$18</c:f>
              <c:numCache>
                <c:formatCode>General</c:formatCode>
                <c:ptCount val="15"/>
                <c:pt idx="0">
                  <c:v>3</c:v>
                </c:pt>
                <c:pt idx="1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7C-42D3-9E87-606B5CD7AC7C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Li'!$B$19:$P$19</c:f>
              <c:numCache>
                <c:formatCode>General</c:formatCode>
                <c:ptCount val="15"/>
                <c:pt idx="0">
                  <c:v>4</c:v>
                </c:pt>
                <c:pt idx="1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7C-42D3-9E87-606B5CD7AC7C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Li'!$B$20:$P$20</c:f>
              <c:numCache>
                <c:formatCode>General</c:formatCode>
                <c:ptCount val="15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E7C-42D3-9E87-606B5CD7A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23184"/>
        <c:axId val="118529904"/>
      </c:barChart>
      <c:catAx>
        <c:axId val="11852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29904"/>
        <c:crosses val="autoZero"/>
        <c:auto val="1"/>
        <c:lblAlgn val="ctr"/>
        <c:lblOffset val="100"/>
        <c:noMultiLvlLbl val="0"/>
      </c:catAx>
      <c:valAx>
        <c:axId val="11852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2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Li'!$B$7:$P$7</c:f>
              <c:numCache>
                <c:formatCode>General</c:formatCode>
                <c:ptCount val="1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2-4DF9-818A-E44DF95DF30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Li'!$B$8:$P$8</c:f>
              <c:numCache>
                <c:formatCode>General</c:formatCode>
                <c:ptCount val="15"/>
                <c:pt idx="0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F2-4DF9-818A-E44DF95DF30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Li'!$B$9:$P$9</c:f>
              <c:numCache>
                <c:formatCode>General</c:formatCode>
                <c:ptCount val="15"/>
                <c:pt idx="0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F2-4DF9-818A-E44DF95DF305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Li'!$B$10:$P$10</c:f>
              <c:numCache>
                <c:formatCode>General</c:formatCode>
                <c:ptCount val="1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F2-4DF9-818A-E44DF95DF305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Li'!$B$11:$P$11</c:f>
              <c:numCache>
                <c:formatCode>General</c:formatCode>
                <c:ptCount val="1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F2-4DF9-818A-E44DF95DF305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Li'!$B$12:$P$12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F2-4DF9-818A-E44DF95DF305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Li'!$B$13:$P$13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F2-4DF9-818A-E44DF95DF305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Li'!$B$14:$P$14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5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F2-4DF9-818A-E44DF95DF305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Li'!$B$15:$P$15</c:f>
              <c:numCache>
                <c:formatCode>General</c:formatCode>
                <c:ptCount val="15"/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F2-4DF9-818A-E44DF95DF305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Li'!$B$16:$P$16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4F2-4DF9-818A-E44DF95DF305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Li'!$B$17:$P$17</c:f>
              <c:numCache>
                <c:formatCode>General</c:formatCode>
                <c:ptCount val="15"/>
                <c:pt idx="0">
                  <c:v>2</c:v>
                </c:pt>
                <c:pt idx="1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F2-4DF9-818A-E44DF95DF305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Li'!$B$18:$P$18</c:f>
              <c:numCache>
                <c:formatCode>General</c:formatCode>
                <c:ptCount val="15"/>
                <c:pt idx="0">
                  <c:v>3</c:v>
                </c:pt>
                <c:pt idx="1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4F2-4DF9-818A-E44DF95DF305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Li'!$B$19:$P$19</c:f>
              <c:numCache>
                <c:formatCode>General</c:formatCode>
                <c:ptCount val="15"/>
                <c:pt idx="0">
                  <c:v>4</c:v>
                </c:pt>
                <c:pt idx="1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4F2-4DF9-818A-E44DF95DF305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Li'!$B$20:$P$20</c:f>
              <c:numCache>
                <c:formatCode>General</c:formatCode>
                <c:ptCount val="15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4F2-4DF9-818A-E44DF95DF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22224"/>
        <c:axId val="118517904"/>
      </c:barChart>
      <c:catAx>
        <c:axId val="118522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17904"/>
        <c:crosses val="autoZero"/>
        <c:auto val="1"/>
        <c:lblAlgn val="ctr"/>
        <c:lblOffset val="100"/>
        <c:noMultiLvlLbl val="0"/>
      </c:catAx>
      <c:valAx>
        <c:axId val="1185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2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Li'!$B$7:$P$7</c:f>
              <c:numCache>
                <c:formatCode>General</c:formatCode>
                <c:ptCount val="1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A-4453-9A96-38B6D80DCE0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Li'!$B$8:$P$8</c:f>
              <c:numCache>
                <c:formatCode>General</c:formatCode>
                <c:ptCount val="15"/>
                <c:pt idx="0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2A-4453-9A96-38B6D80DCE0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Li'!$B$9:$P$9</c:f>
              <c:numCache>
                <c:formatCode>General</c:formatCode>
                <c:ptCount val="15"/>
                <c:pt idx="0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2A-4453-9A96-38B6D80DCE0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Li'!$B$10:$P$10</c:f>
              <c:numCache>
                <c:formatCode>General</c:formatCode>
                <c:ptCount val="1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2A-4453-9A96-38B6D80DCE0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Li'!$B$11:$P$11</c:f>
              <c:numCache>
                <c:formatCode>General</c:formatCode>
                <c:ptCount val="1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2A-4453-9A96-38B6D80DCE0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'Casos de Testes Funcionais - Li'!$B$12:$P$12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2A-4453-9A96-38B6D80DCE0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Li'!$B$13:$P$13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2A-4453-9A96-38B6D80DCE0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Li'!$B$14:$P$14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5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2A-4453-9A96-38B6D80DCE0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Li'!$B$15:$P$15</c:f>
              <c:numCache>
                <c:formatCode>General</c:formatCode>
                <c:ptCount val="15"/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2A-4453-9A96-38B6D80DCE0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Li'!$B$16:$P$16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2A-4453-9A96-38B6D80DCE0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Li'!$B$17:$P$17</c:f>
              <c:numCache>
                <c:formatCode>General</c:formatCode>
                <c:ptCount val="15"/>
                <c:pt idx="0">
                  <c:v>2</c:v>
                </c:pt>
                <c:pt idx="1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2A-4453-9A96-38B6D80DCE01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Li'!$B$18:$P$18</c:f>
              <c:numCache>
                <c:formatCode>General</c:formatCode>
                <c:ptCount val="15"/>
                <c:pt idx="0">
                  <c:v>3</c:v>
                </c:pt>
                <c:pt idx="1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F2A-4453-9A96-38B6D80DCE01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Li'!$B$19:$P$19</c:f>
              <c:numCache>
                <c:formatCode>General</c:formatCode>
                <c:ptCount val="15"/>
                <c:pt idx="0">
                  <c:v>4</c:v>
                </c:pt>
                <c:pt idx="1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2A-4453-9A96-38B6D80DCE01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'Casos de Testes Funcionais - Li'!$B$20:$P$20</c:f>
              <c:numCache>
                <c:formatCode>General</c:formatCode>
                <c:ptCount val="15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F2A-4453-9A96-38B6D80DC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961408"/>
        <c:axId val="2127968608"/>
      </c:barChart>
      <c:catAx>
        <c:axId val="2127961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7968608"/>
        <c:crosses val="autoZero"/>
        <c:auto val="1"/>
        <c:lblAlgn val="ctr"/>
        <c:lblOffset val="100"/>
        <c:noMultiLvlLbl val="0"/>
      </c:catAx>
      <c:valAx>
        <c:axId val="21279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796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068AD04-605A-47D6-8464-5497FD25BB58}">
  <sheetPr/>
  <sheetViews>
    <sheetView zoomScale="9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B3425B8-5872-4411-98BC-62A0B49D3C0B}">
  <sheetPr/>
  <sheetViews>
    <sheetView zoomScale="9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76F16F-613C-4CB8-A829-24C8FD9D9A80}">
  <sheetPr/>
  <sheetViews>
    <sheetView zoomScale="9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37661" cy="600177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838CEA-AEAE-5D54-AD9A-66EEFB0DC1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37661" cy="600177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20B2C5-75CE-AAFF-8217-BFC7F6AE04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37661" cy="600177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0E26CA-88F4-6E1C-AD04-EBBE3BC5C4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45"/>
  <sheetViews>
    <sheetView tabSelected="1" topLeftCell="A31" workbookViewId="0">
      <selection activeCell="P42" sqref="P42"/>
    </sheetView>
  </sheetViews>
  <sheetFormatPr defaultColWidth="12.7109375" defaultRowHeight="15.75" customHeight="1" x14ac:dyDescent="0.2"/>
  <cols>
    <col min="3" max="3" width="17.7109375" customWidth="1"/>
  </cols>
  <sheetData>
    <row r="1" spans="1:16" ht="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x14ac:dyDescent="0.25">
      <c r="A2" s="1"/>
      <c r="B2" s="27"/>
      <c r="C2" s="27"/>
      <c r="D2" s="33" t="s">
        <v>84</v>
      </c>
      <c r="E2" s="33"/>
      <c r="F2" s="33"/>
      <c r="G2" s="33"/>
      <c r="H2" s="33"/>
      <c r="I2" s="33"/>
      <c r="J2" s="33"/>
      <c r="K2" s="33"/>
      <c r="L2" s="33"/>
      <c r="M2" s="33"/>
      <c r="N2" s="35" t="s">
        <v>1</v>
      </c>
      <c r="O2" s="36" t="s">
        <v>2</v>
      </c>
      <c r="P2" s="1"/>
    </row>
    <row r="3" spans="1:16" ht="15" x14ac:dyDescent="0.25">
      <c r="A3" s="1"/>
      <c r="B3" s="27"/>
      <c r="C3" s="27"/>
      <c r="D3" s="79"/>
      <c r="E3" s="79"/>
      <c r="F3" s="79"/>
      <c r="G3" s="79"/>
      <c r="H3" s="79"/>
      <c r="I3" s="79"/>
      <c r="J3" s="79"/>
      <c r="K3" s="79"/>
      <c r="L3" s="79"/>
      <c r="M3" s="79"/>
      <c r="N3" s="78"/>
      <c r="O3" s="77"/>
      <c r="P3" s="1"/>
    </row>
    <row r="4" spans="1:16" ht="15" x14ac:dyDescent="0.25">
      <c r="A4" s="1"/>
      <c r="B4" s="27"/>
      <c r="C4" s="27"/>
      <c r="D4" s="37"/>
      <c r="E4" s="37"/>
      <c r="F4" s="37"/>
      <c r="G4" s="37"/>
      <c r="H4" s="37"/>
      <c r="I4" s="37"/>
      <c r="J4" s="37"/>
      <c r="K4" s="37"/>
      <c r="L4" s="37"/>
      <c r="M4" s="37"/>
      <c r="N4" s="39" t="s">
        <v>3</v>
      </c>
      <c r="O4" s="40">
        <v>45266</v>
      </c>
      <c r="P4" s="1"/>
    </row>
    <row r="5" spans="1:16" ht="15" x14ac:dyDescent="0.25">
      <c r="A5" s="1"/>
      <c r="B5" s="27"/>
      <c r="C5" s="27"/>
      <c r="D5" s="76"/>
      <c r="E5" s="76"/>
      <c r="F5" s="76"/>
      <c r="G5" s="76"/>
      <c r="H5" s="76"/>
      <c r="I5" s="76"/>
      <c r="J5" s="76"/>
      <c r="K5" s="76"/>
      <c r="L5" s="76"/>
      <c r="M5" s="76"/>
      <c r="N5" s="75"/>
      <c r="O5" s="74"/>
      <c r="P5" s="1"/>
    </row>
    <row r="6" spans="1:16" ht="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.75" x14ac:dyDescent="0.3">
      <c r="A7" s="1"/>
      <c r="B7" s="41" t="s">
        <v>4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1"/>
    </row>
    <row r="8" spans="1:16" ht="15" x14ac:dyDescent="0.25">
      <c r="A8" s="1"/>
      <c r="B8" s="73" t="s">
        <v>5</v>
      </c>
      <c r="C8" s="73"/>
      <c r="D8" s="3">
        <f>COUNTIFS(C2:C921,"SUCESSO")</f>
        <v>4</v>
      </c>
      <c r="E8" s="4">
        <f>COUNTIFS(C2:C921,"FALHA")</f>
        <v>0</v>
      </c>
      <c r="F8" s="5">
        <f>COUNTIFS(C2:C921,"NÃO TESTADO")</f>
        <v>0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x14ac:dyDescent="0.25">
      <c r="A9" s="1"/>
      <c r="B9" s="31" t="s">
        <v>6</v>
      </c>
      <c r="C9" s="31"/>
      <c r="D9" s="32">
        <f>SUM(D8:F8)</f>
        <v>4</v>
      </c>
      <c r="E9" s="32"/>
      <c r="F9" s="32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3.25" x14ac:dyDescent="0.35">
      <c r="A10" s="1"/>
      <c r="B10" s="46" t="s">
        <v>86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1"/>
    </row>
    <row r="11" spans="1:16" ht="15" x14ac:dyDescent="0.25">
      <c r="A11" s="1"/>
      <c r="B11" s="2" t="s">
        <v>7</v>
      </c>
      <c r="P11" s="1"/>
    </row>
    <row r="12" spans="1:16" ht="15" x14ac:dyDescent="0.25">
      <c r="A12" s="1"/>
      <c r="B12" s="6" t="s">
        <v>8</v>
      </c>
      <c r="C12" s="16" t="s">
        <v>9</v>
      </c>
      <c r="D12" s="20" t="s">
        <v>87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68"/>
      <c r="P12" s="1"/>
    </row>
    <row r="13" spans="1:16" ht="15" x14ac:dyDescent="0.25">
      <c r="A13" s="1"/>
      <c r="B13" s="8" t="s">
        <v>10</v>
      </c>
      <c r="C13" s="23" t="s">
        <v>88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67"/>
      <c r="P13" s="1"/>
    </row>
    <row r="14" spans="1:16" ht="15" x14ac:dyDescent="0.25">
      <c r="A14" s="1"/>
      <c r="B14" s="57" t="s">
        <v>12</v>
      </c>
      <c r="C14" s="57" t="s">
        <v>13</v>
      </c>
      <c r="D14" s="57"/>
      <c r="E14" s="57"/>
      <c r="F14" s="57"/>
      <c r="G14" s="57" t="s">
        <v>14</v>
      </c>
      <c r="H14" s="57"/>
      <c r="I14" s="57"/>
      <c r="J14" s="57" t="s">
        <v>15</v>
      </c>
      <c r="K14" s="57"/>
      <c r="L14" s="57"/>
      <c r="M14" s="57" t="s">
        <v>16</v>
      </c>
      <c r="N14" s="57" t="s">
        <v>17</v>
      </c>
      <c r="O14" s="57"/>
      <c r="P14" s="1"/>
    </row>
    <row r="15" spans="1:16" ht="15" x14ac:dyDescent="0.25">
      <c r="A15" s="1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9" t="s">
        <v>18</v>
      </c>
      <c r="O15" s="9" t="s">
        <v>19</v>
      </c>
      <c r="P15" s="1"/>
    </row>
    <row r="16" spans="1:16" ht="15" x14ac:dyDescent="0.25">
      <c r="A16" s="1"/>
      <c r="B16" s="10">
        <v>1</v>
      </c>
      <c r="C16" s="28" t="s">
        <v>89</v>
      </c>
      <c r="D16" s="65"/>
      <c r="E16" s="65"/>
      <c r="F16" s="66"/>
      <c r="G16" s="47"/>
      <c r="H16" s="69"/>
      <c r="I16" s="70"/>
      <c r="J16" s="30" t="s">
        <v>90</v>
      </c>
      <c r="K16" s="61"/>
      <c r="L16" s="62"/>
      <c r="M16" s="11" t="s">
        <v>20</v>
      </c>
      <c r="N16" s="43" t="s">
        <v>108</v>
      </c>
      <c r="O16" s="43"/>
      <c r="P16" s="1"/>
    </row>
    <row r="17" spans="1:16" ht="15" x14ac:dyDescent="0.25">
      <c r="A17" s="1"/>
      <c r="B17" s="10">
        <v>2</v>
      </c>
      <c r="C17" s="17" t="s">
        <v>92</v>
      </c>
      <c r="D17" s="59"/>
      <c r="E17" s="59"/>
      <c r="F17" s="60"/>
      <c r="G17" s="17"/>
      <c r="H17" s="59"/>
      <c r="I17" s="60"/>
      <c r="J17" s="17" t="s">
        <v>91</v>
      </c>
      <c r="K17" s="59"/>
      <c r="L17" s="60"/>
      <c r="M17" s="12"/>
      <c r="N17" s="55"/>
      <c r="O17" s="55"/>
      <c r="P17" s="1"/>
    </row>
    <row r="18" spans="1:16" ht="15" x14ac:dyDescent="0.25">
      <c r="A18" s="1"/>
      <c r="B18" s="10">
        <v>3</v>
      </c>
      <c r="C18" s="17" t="s">
        <v>93</v>
      </c>
      <c r="D18" s="59"/>
      <c r="E18" s="59"/>
      <c r="F18" s="60"/>
      <c r="G18" s="17"/>
      <c r="H18" s="59"/>
      <c r="I18" s="60"/>
      <c r="J18" s="17" t="s">
        <v>94</v>
      </c>
      <c r="K18" s="59"/>
      <c r="L18" s="60"/>
      <c r="M18" s="12"/>
      <c r="N18" s="55"/>
      <c r="O18" s="55"/>
      <c r="P18" s="1"/>
    </row>
    <row r="19" spans="1:16" ht="15" x14ac:dyDescent="0.25">
      <c r="A19" s="1"/>
      <c r="B19" s="10">
        <v>4</v>
      </c>
      <c r="C19" s="17" t="s">
        <v>95</v>
      </c>
      <c r="D19" s="59"/>
      <c r="E19" s="59"/>
      <c r="F19" s="60"/>
      <c r="G19" s="17"/>
      <c r="H19" s="59"/>
      <c r="I19" s="60"/>
      <c r="J19" s="17" t="s">
        <v>96</v>
      </c>
      <c r="K19" s="59"/>
      <c r="L19" s="60"/>
      <c r="M19" s="12"/>
      <c r="N19" s="55"/>
      <c r="O19" s="55"/>
      <c r="P19" s="1"/>
    </row>
    <row r="20" spans="1:16" ht="15" x14ac:dyDescent="0.25">
      <c r="A20" s="1"/>
      <c r="B20" s="10">
        <v>5</v>
      </c>
      <c r="C20" s="17"/>
      <c r="D20" s="59"/>
      <c r="E20" s="59"/>
      <c r="F20" s="60"/>
      <c r="G20" s="17"/>
      <c r="H20" s="59"/>
      <c r="I20" s="60"/>
      <c r="J20" s="17"/>
      <c r="K20" s="59"/>
      <c r="L20" s="60"/>
      <c r="M20" s="12"/>
      <c r="N20" s="56"/>
      <c r="O20" s="56"/>
      <c r="P20" s="1"/>
    </row>
    <row r="22" spans="1:16" ht="15" x14ac:dyDescent="0.25">
      <c r="B22" s="2" t="s">
        <v>7</v>
      </c>
    </row>
    <row r="23" spans="1:16" ht="15" x14ac:dyDescent="0.25">
      <c r="B23" s="6" t="s">
        <v>21</v>
      </c>
      <c r="C23" s="16" t="s">
        <v>9</v>
      </c>
      <c r="D23" s="20" t="s">
        <v>97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68"/>
    </row>
    <row r="24" spans="1:16" ht="15" x14ac:dyDescent="0.25">
      <c r="B24" s="8" t="s">
        <v>10</v>
      </c>
      <c r="C24" s="23" t="s">
        <v>98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67"/>
    </row>
    <row r="25" spans="1:16" ht="15" x14ac:dyDescent="0.25">
      <c r="B25" s="57" t="s">
        <v>12</v>
      </c>
      <c r="C25" s="57" t="s">
        <v>13</v>
      </c>
      <c r="D25" s="57"/>
      <c r="E25" s="57"/>
      <c r="F25" s="57"/>
      <c r="G25" s="57" t="s">
        <v>14</v>
      </c>
      <c r="H25" s="57"/>
      <c r="I25" s="57"/>
      <c r="J25" s="57" t="s">
        <v>15</v>
      </c>
      <c r="K25" s="57"/>
      <c r="L25" s="57"/>
      <c r="M25" s="57" t="s">
        <v>16</v>
      </c>
      <c r="N25" s="57" t="s">
        <v>17</v>
      </c>
      <c r="O25" s="57"/>
    </row>
    <row r="26" spans="1:16" ht="15" x14ac:dyDescent="0.25"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9" t="s">
        <v>18</v>
      </c>
      <c r="O26" s="9" t="s">
        <v>19</v>
      </c>
    </row>
    <row r="27" spans="1:16" ht="15" x14ac:dyDescent="0.25">
      <c r="B27" s="10">
        <v>1</v>
      </c>
      <c r="C27" s="28" t="s">
        <v>99</v>
      </c>
      <c r="D27" s="65"/>
      <c r="E27" s="65"/>
      <c r="F27" s="66"/>
      <c r="G27" s="29"/>
      <c r="H27" s="63"/>
      <c r="I27" s="64"/>
      <c r="J27" s="30" t="s">
        <v>100</v>
      </c>
      <c r="K27" s="61"/>
      <c r="L27" s="62"/>
      <c r="M27" s="11" t="s">
        <v>20</v>
      </c>
      <c r="N27" s="43"/>
      <c r="O27" s="43"/>
    </row>
    <row r="28" spans="1:16" ht="15" x14ac:dyDescent="0.25">
      <c r="B28" s="10"/>
      <c r="C28" s="17" t="s">
        <v>101</v>
      </c>
      <c r="D28" s="59"/>
      <c r="E28" s="59"/>
      <c r="F28" s="60"/>
      <c r="G28" s="17"/>
      <c r="H28" s="59"/>
      <c r="I28" s="60"/>
      <c r="J28" s="17" t="s">
        <v>102</v>
      </c>
      <c r="K28" s="59"/>
      <c r="L28" s="60"/>
      <c r="M28" s="12"/>
      <c r="N28" s="55"/>
      <c r="O28" s="55"/>
    </row>
    <row r="29" spans="1:16" ht="15" x14ac:dyDescent="0.25">
      <c r="B29" s="10"/>
      <c r="C29" s="17" t="s">
        <v>103</v>
      </c>
      <c r="D29" s="59"/>
      <c r="E29" s="59"/>
      <c r="F29" s="60"/>
      <c r="G29" s="17"/>
      <c r="H29" s="59"/>
      <c r="I29" s="60"/>
      <c r="J29" s="17" t="s">
        <v>104</v>
      </c>
      <c r="K29" s="59"/>
      <c r="L29" s="60"/>
      <c r="M29" s="12"/>
      <c r="N29" s="55"/>
      <c r="O29" s="55"/>
    </row>
    <row r="30" spans="1:16" ht="15" x14ac:dyDescent="0.25">
      <c r="B30" s="10"/>
      <c r="C30" s="17" t="s">
        <v>105</v>
      </c>
      <c r="D30" s="59"/>
      <c r="E30" s="59"/>
      <c r="F30" s="60"/>
      <c r="G30" s="17"/>
      <c r="H30" s="59"/>
      <c r="I30" s="60"/>
      <c r="J30" s="17" t="s">
        <v>106</v>
      </c>
      <c r="K30" s="59"/>
      <c r="L30" s="60"/>
      <c r="M30" s="12"/>
      <c r="N30" s="55"/>
      <c r="O30" s="55"/>
    </row>
    <row r="31" spans="1:16" ht="15" x14ac:dyDescent="0.25">
      <c r="B31" s="10"/>
      <c r="C31" s="17" t="s">
        <v>107</v>
      </c>
      <c r="D31" s="59"/>
      <c r="E31" s="59"/>
      <c r="F31" s="60"/>
      <c r="G31" s="17"/>
      <c r="H31" s="59"/>
      <c r="I31" s="60"/>
      <c r="J31" s="17" t="s">
        <v>109</v>
      </c>
      <c r="K31" s="59"/>
      <c r="L31" s="60"/>
      <c r="M31" s="12"/>
      <c r="N31" s="56"/>
      <c r="O31" s="56"/>
    </row>
    <row r="32" spans="1:16" ht="15.75" customHeight="1" x14ac:dyDescent="0.25">
      <c r="B32" s="10"/>
      <c r="C32" s="28" t="s">
        <v>110</v>
      </c>
      <c r="D32" s="65"/>
      <c r="E32" s="65"/>
      <c r="F32" s="66"/>
      <c r="G32" s="29"/>
      <c r="H32" s="63"/>
      <c r="I32" s="64"/>
      <c r="J32" s="30" t="s">
        <v>111</v>
      </c>
      <c r="K32" s="61"/>
      <c r="L32" s="62"/>
      <c r="M32" s="11" t="s">
        <v>20</v>
      </c>
      <c r="N32" s="43"/>
      <c r="O32" s="43"/>
    </row>
    <row r="33" spans="2:15" ht="15" x14ac:dyDescent="0.25">
      <c r="B33" s="10"/>
      <c r="C33" s="17" t="s">
        <v>112</v>
      </c>
      <c r="D33" s="59"/>
      <c r="E33" s="59"/>
      <c r="F33" s="60"/>
      <c r="G33" s="17"/>
      <c r="H33" s="59"/>
      <c r="I33" s="60"/>
      <c r="J33" s="17" t="s">
        <v>113</v>
      </c>
      <c r="K33" s="59"/>
      <c r="L33" s="60"/>
      <c r="M33" s="12"/>
      <c r="N33" s="55"/>
      <c r="O33" s="55"/>
    </row>
    <row r="34" spans="2:15" ht="15" x14ac:dyDescent="0.25">
      <c r="B34" s="10"/>
      <c r="C34" s="17"/>
      <c r="D34" s="59"/>
      <c r="E34" s="59"/>
      <c r="F34" s="60"/>
      <c r="G34" s="17"/>
      <c r="H34" s="59"/>
      <c r="I34" s="60"/>
      <c r="J34" s="17"/>
      <c r="K34" s="59"/>
      <c r="L34" s="60"/>
      <c r="M34" s="12"/>
      <c r="N34" s="55"/>
      <c r="O34" s="55"/>
    </row>
    <row r="35" spans="2:15" ht="15" x14ac:dyDescent="0.25">
      <c r="B35" s="10"/>
      <c r="C35" s="17"/>
      <c r="D35" s="59"/>
      <c r="E35" s="59"/>
      <c r="F35" s="60"/>
      <c r="G35" s="17"/>
      <c r="H35" s="59"/>
      <c r="I35" s="60"/>
      <c r="J35" s="17"/>
      <c r="K35" s="59"/>
      <c r="L35" s="60"/>
      <c r="M35" s="12"/>
      <c r="N35" s="55"/>
      <c r="O35" s="55"/>
    </row>
    <row r="36" spans="2:15" ht="15" x14ac:dyDescent="0.25">
      <c r="B36" s="10"/>
      <c r="C36" s="17"/>
      <c r="D36" s="59"/>
      <c r="E36" s="59"/>
      <c r="F36" s="60"/>
      <c r="G36" s="17"/>
      <c r="H36" s="59"/>
      <c r="I36" s="60"/>
      <c r="J36" s="17"/>
      <c r="K36" s="59"/>
      <c r="L36" s="60"/>
      <c r="M36" s="12"/>
      <c r="N36" s="56"/>
      <c r="O36" s="56"/>
    </row>
    <row r="37" spans="2:15" ht="12.75" x14ac:dyDescent="0.2"/>
    <row r="38" spans="2:15" ht="15" x14ac:dyDescent="0.25">
      <c r="B38" s="2" t="s">
        <v>7</v>
      </c>
    </row>
    <row r="39" spans="2:15" ht="15" x14ac:dyDescent="0.25">
      <c r="B39" s="6" t="s">
        <v>26</v>
      </c>
      <c r="C39" s="16" t="s">
        <v>9</v>
      </c>
      <c r="D39" s="20" t="s">
        <v>114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68"/>
    </row>
    <row r="40" spans="2:15" ht="15" x14ac:dyDescent="0.25">
      <c r="B40" s="8" t="s">
        <v>10</v>
      </c>
      <c r="C40" s="23" t="s">
        <v>115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67"/>
    </row>
    <row r="41" spans="2:15" ht="15" x14ac:dyDescent="0.25">
      <c r="B41" s="57" t="s">
        <v>12</v>
      </c>
      <c r="C41" s="57" t="s">
        <v>13</v>
      </c>
      <c r="D41" s="57"/>
      <c r="E41" s="57"/>
      <c r="F41" s="57"/>
      <c r="G41" s="57" t="s">
        <v>14</v>
      </c>
      <c r="H41" s="57"/>
      <c r="I41" s="57"/>
      <c r="J41" s="57" t="s">
        <v>15</v>
      </c>
      <c r="K41" s="57"/>
      <c r="L41" s="57"/>
      <c r="M41" s="57" t="s">
        <v>16</v>
      </c>
      <c r="N41" s="57" t="s">
        <v>17</v>
      </c>
      <c r="O41" s="57"/>
    </row>
    <row r="42" spans="2:15" ht="15" x14ac:dyDescent="0.25"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9" t="s">
        <v>18</v>
      </c>
      <c r="O42" s="9" t="s">
        <v>19</v>
      </c>
    </row>
    <row r="43" spans="2:15" ht="15.75" customHeight="1" x14ac:dyDescent="0.25">
      <c r="B43" s="10">
        <v>1</v>
      </c>
      <c r="C43" s="28" t="s">
        <v>116</v>
      </c>
      <c r="D43" s="65"/>
      <c r="E43" s="65"/>
      <c r="F43" s="66"/>
      <c r="G43" s="29"/>
      <c r="H43" s="63"/>
      <c r="I43" s="64"/>
      <c r="J43" s="30" t="s">
        <v>120</v>
      </c>
      <c r="K43" s="61"/>
      <c r="L43" s="62"/>
      <c r="M43" s="11" t="s">
        <v>20</v>
      </c>
      <c r="N43" s="43"/>
      <c r="O43" s="43"/>
    </row>
    <row r="44" spans="2:15" ht="15" x14ac:dyDescent="0.25">
      <c r="B44" s="10">
        <v>2</v>
      </c>
      <c r="C44" s="17" t="s">
        <v>117</v>
      </c>
      <c r="D44" s="59"/>
      <c r="E44" s="59"/>
      <c r="F44" s="60"/>
      <c r="G44" s="17"/>
      <c r="H44" s="59"/>
      <c r="I44" s="60"/>
      <c r="J44" s="17" t="s">
        <v>121</v>
      </c>
      <c r="K44" s="59"/>
      <c r="L44" s="60"/>
      <c r="M44" s="12"/>
      <c r="N44" s="55"/>
      <c r="O44" s="55"/>
    </row>
    <row r="45" spans="2:15" ht="15" x14ac:dyDescent="0.25">
      <c r="B45" s="10">
        <v>3</v>
      </c>
      <c r="C45" s="17" t="s">
        <v>118</v>
      </c>
      <c r="D45" s="59"/>
      <c r="E45" s="59"/>
      <c r="F45" s="60"/>
      <c r="G45" s="17"/>
      <c r="H45" s="59"/>
      <c r="I45" s="60"/>
      <c r="J45" s="17" t="s">
        <v>122</v>
      </c>
      <c r="K45" s="59"/>
      <c r="L45" s="60"/>
      <c r="M45" s="12"/>
      <c r="N45" s="55"/>
      <c r="O45" s="55"/>
    </row>
    <row r="46" spans="2:15" ht="15" x14ac:dyDescent="0.25">
      <c r="B46" s="10">
        <v>4</v>
      </c>
      <c r="C46" s="17" t="s">
        <v>119</v>
      </c>
      <c r="D46" s="59"/>
      <c r="E46" s="59"/>
      <c r="F46" s="60"/>
      <c r="G46" s="17"/>
      <c r="H46" s="59"/>
      <c r="I46" s="60"/>
      <c r="J46" s="17" t="s">
        <v>123</v>
      </c>
      <c r="K46" s="59"/>
      <c r="L46" s="60"/>
      <c r="M46" s="12"/>
      <c r="N46" s="55"/>
      <c r="O46" s="55"/>
    </row>
    <row r="47" spans="2:15" ht="15" x14ac:dyDescent="0.25">
      <c r="B47" s="10">
        <v>5</v>
      </c>
      <c r="C47" s="17" t="s">
        <v>124</v>
      </c>
      <c r="D47" s="59"/>
      <c r="E47" s="59"/>
      <c r="F47" s="60"/>
      <c r="G47" s="17"/>
      <c r="H47" s="59"/>
      <c r="I47" s="60"/>
      <c r="J47" s="17" t="s">
        <v>126</v>
      </c>
      <c r="K47" s="59"/>
      <c r="L47" s="60"/>
      <c r="M47" s="12"/>
      <c r="N47" s="56"/>
      <c r="O47" s="56"/>
    </row>
    <row r="48" spans="2:15" ht="15" x14ac:dyDescent="0.25">
      <c r="B48" s="10">
        <v>6</v>
      </c>
      <c r="C48" s="28" t="s">
        <v>125</v>
      </c>
      <c r="D48" s="65"/>
      <c r="E48" s="65"/>
      <c r="F48" s="66"/>
      <c r="G48" s="29"/>
      <c r="H48" s="63"/>
      <c r="I48" s="64"/>
      <c r="J48" s="30" t="s">
        <v>127</v>
      </c>
      <c r="K48" s="61"/>
      <c r="L48" s="62"/>
      <c r="M48" s="11" t="s">
        <v>20</v>
      </c>
      <c r="N48" s="43"/>
      <c r="O48" s="43"/>
    </row>
    <row r="49" spans="2:15" ht="15" x14ac:dyDescent="0.25">
      <c r="B49" s="10"/>
      <c r="C49" s="17"/>
      <c r="D49" s="59"/>
      <c r="E49" s="59"/>
      <c r="F49" s="60"/>
      <c r="G49" s="17"/>
      <c r="H49" s="59"/>
      <c r="I49" s="60"/>
      <c r="J49" s="17"/>
      <c r="K49" s="59"/>
      <c r="L49" s="60"/>
      <c r="M49" s="12"/>
      <c r="N49" s="55"/>
      <c r="O49" s="55"/>
    </row>
    <row r="50" spans="2:15" ht="15" x14ac:dyDescent="0.25">
      <c r="B50" s="10"/>
      <c r="C50" s="17"/>
      <c r="D50" s="59"/>
      <c r="E50" s="59"/>
      <c r="F50" s="60"/>
      <c r="G50" s="17"/>
      <c r="H50" s="59"/>
      <c r="I50" s="60"/>
      <c r="J50" s="17"/>
      <c r="K50" s="59"/>
      <c r="L50" s="60"/>
      <c r="M50" s="12"/>
      <c r="N50" s="55"/>
      <c r="O50" s="55"/>
    </row>
    <row r="51" spans="2:15" ht="15" x14ac:dyDescent="0.25">
      <c r="B51" s="10"/>
      <c r="C51" s="17"/>
      <c r="D51" s="59"/>
      <c r="E51" s="59"/>
      <c r="F51" s="60"/>
      <c r="G51" s="17"/>
      <c r="H51" s="59"/>
      <c r="I51" s="60"/>
      <c r="J51" s="17"/>
      <c r="K51" s="59"/>
      <c r="L51" s="60"/>
      <c r="M51" s="12"/>
      <c r="N51" s="55"/>
      <c r="O51" s="55"/>
    </row>
    <row r="52" spans="2:15" ht="15" x14ac:dyDescent="0.25">
      <c r="B52" s="10"/>
      <c r="C52" s="17"/>
      <c r="D52" s="59"/>
      <c r="E52" s="59"/>
      <c r="F52" s="60"/>
      <c r="G52" s="17"/>
      <c r="H52" s="59"/>
      <c r="I52" s="60"/>
      <c r="J52" s="17"/>
      <c r="K52" s="59"/>
      <c r="L52" s="60"/>
      <c r="M52" s="12"/>
      <c r="N52" s="56"/>
      <c r="O52" s="56"/>
    </row>
    <row r="53" spans="2:15" ht="12.75" x14ac:dyDescent="0.2"/>
    <row r="54" spans="2:15" ht="15" x14ac:dyDescent="0.25">
      <c r="B54" s="1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</row>
    <row r="55" spans="2:15" ht="15.75" customHeight="1" x14ac:dyDescent="0.25">
      <c r="B55" s="2" t="s">
        <v>7</v>
      </c>
    </row>
    <row r="56" spans="2:15" ht="15" x14ac:dyDescent="0.25">
      <c r="B56" s="6" t="s">
        <v>30</v>
      </c>
      <c r="C56" s="16" t="s">
        <v>9</v>
      </c>
      <c r="D56" s="20" t="s">
        <v>128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8"/>
    </row>
    <row r="57" spans="2:15" ht="15" x14ac:dyDescent="0.25">
      <c r="B57" s="8" t="s">
        <v>10</v>
      </c>
      <c r="C57" s="23" t="s">
        <v>28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67"/>
    </row>
    <row r="58" spans="2:15" ht="15" x14ac:dyDescent="0.25">
      <c r="B58" s="57" t="s">
        <v>12</v>
      </c>
      <c r="C58" s="57" t="s">
        <v>13</v>
      </c>
      <c r="D58" s="57"/>
      <c r="E58" s="57"/>
      <c r="F58" s="57"/>
      <c r="G58" s="57" t="s">
        <v>14</v>
      </c>
      <c r="H58" s="57"/>
      <c r="I58" s="57"/>
      <c r="J58" s="57" t="s">
        <v>15</v>
      </c>
      <c r="K58" s="57"/>
      <c r="L58" s="57"/>
      <c r="M58" s="57" t="s">
        <v>16</v>
      </c>
      <c r="N58" s="57" t="s">
        <v>17</v>
      </c>
      <c r="O58" s="57"/>
    </row>
    <row r="59" spans="2:15" ht="15" x14ac:dyDescent="0.25"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9" t="s">
        <v>18</v>
      </c>
      <c r="O59" s="9" t="s">
        <v>19</v>
      </c>
    </row>
    <row r="60" spans="2:15" ht="15" x14ac:dyDescent="0.2">
      <c r="B60" s="10">
        <v>1</v>
      </c>
      <c r="C60" s="28" t="s">
        <v>130</v>
      </c>
      <c r="D60" s="65"/>
      <c r="E60" s="65"/>
      <c r="F60" s="66"/>
      <c r="G60" s="29"/>
      <c r="H60" s="63"/>
      <c r="I60" s="64"/>
      <c r="J60" s="29" t="s">
        <v>129</v>
      </c>
      <c r="K60" s="63"/>
      <c r="L60" s="64"/>
      <c r="M60" s="11" t="s">
        <v>20</v>
      </c>
      <c r="N60" s="43"/>
      <c r="O60" s="43"/>
    </row>
    <row r="61" spans="2:15" ht="15" x14ac:dyDescent="0.25">
      <c r="B61" s="10">
        <v>2</v>
      </c>
      <c r="C61" s="17" t="s">
        <v>131</v>
      </c>
      <c r="D61" s="59"/>
      <c r="E61" s="59"/>
      <c r="F61" s="60"/>
      <c r="G61" s="17"/>
      <c r="H61" s="59"/>
      <c r="I61" s="60"/>
      <c r="J61" s="17" t="s">
        <v>132</v>
      </c>
      <c r="K61" s="59"/>
      <c r="L61" s="60"/>
      <c r="M61" s="12"/>
      <c r="N61" s="55"/>
      <c r="O61" s="55"/>
    </row>
    <row r="62" spans="2:15" ht="45" customHeight="1" x14ac:dyDescent="0.25">
      <c r="B62" s="10">
        <v>3</v>
      </c>
      <c r="C62" s="54" t="s">
        <v>133</v>
      </c>
      <c r="D62" s="71"/>
      <c r="E62" s="71"/>
      <c r="F62" s="72"/>
      <c r="G62" s="17"/>
      <c r="H62" s="59"/>
      <c r="I62" s="60"/>
      <c r="J62" s="54" t="s">
        <v>134</v>
      </c>
      <c r="K62" s="71"/>
      <c r="L62" s="72"/>
      <c r="M62" s="12"/>
      <c r="N62" s="55"/>
      <c r="O62" s="55"/>
    </row>
    <row r="63" spans="2:15" ht="15" x14ac:dyDescent="0.25">
      <c r="B63" s="10">
        <v>4</v>
      </c>
      <c r="C63" s="17" t="s">
        <v>135</v>
      </c>
      <c r="D63" s="59"/>
      <c r="E63" s="59"/>
      <c r="F63" s="60"/>
      <c r="G63" s="17"/>
      <c r="H63" s="59"/>
      <c r="I63" s="60"/>
      <c r="J63" s="17" t="s">
        <v>136</v>
      </c>
      <c r="K63" s="59"/>
      <c r="L63" s="60"/>
      <c r="M63" s="12"/>
      <c r="N63" s="55"/>
      <c r="O63" s="55"/>
    </row>
    <row r="64" spans="2:15" ht="15" x14ac:dyDescent="0.25">
      <c r="B64" s="10">
        <v>5</v>
      </c>
      <c r="C64" s="17" t="s">
        <v>137</v>
      </c>
      <c r="D64" s="59"/>
      <c r="E64" s="59"/>
      <c r="F64" s="60"/>
      <c r="G64" s="17"/>
      <c r="H64" s="59"/>
      <c r="I64" s="60"/>
      <c r="J64" s="17" t="s">
        <v>138</v>
      </c>
      <c r="K64" s="59"/>
      <c r="L64" s="60"/>
      <c r="M64" s="12"/>
      <c r="N64" s="56"/>
      <c r="O64" s="56"/>
    </row>
    <row r="65" ht="12.75" x14ac:dyDescent="0.2"/>
    <row r="66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45" customHeight="1" x14ac:dyDescent="0.2"/>
    <row r="75" ht="12.75" x14ac:dyDescent="0.2"/>
    <row r="76" ht="12.75" x14ac:dyDescent="0.2"/>
    <row r="77" ht="12.75" x14ac:dyDescent="0.2"/>
    <row r="78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45" customHeight="1" x14ac:dyDescent="0.2"/>
    <row r="86" ht="12.75" x14ac:dyDescent="0.2"/>
    <row r="87" ht="12.75" x14ac:dyDescent="0.2"/>
    <row r="88" ht="12.75" x14ac:dyDescent="0.2"/>
    <row r="89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45" customHeight="1" x14ac:dyDescent="0.2"/>
    <row r="97" ht="12.75" x14ac:dyDescent="0.2"/>
    <row r="98" ht="12.75" x14ac:dyDescent="0.2"/>
    <row r="99" ht="12.75" x14ac:dyDescent="0.2"/>
    <row r="100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45" customHeight="1" x14ac:dyDescent="0.2"/>
    <row r="108" ht="12.75" x14ac:dyDescent="0.2"/>
    <row r="109" ht="12.75" x14ac:dyDescent="0.2"/>
    <row r="110" ht="12.75" x14ac:dyDescent="0.2"/>
    <row r="111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45" customHeight="1" x14ac:dyDescent="0.2"/>
    <row r="119" ht="12.75" x14ac:dyDescent="0.2"/>
    <row r="120" ht="12.75" x14ac:dyDescent="0.2"/>
    <row r="121" ht="12.75" x14ac:dyDescent="0.2"/>
    <row r="122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45" customHeight="1" x14ac:dyDescent="0.2"/>
    <row r="130" ht="12.75" x14ac:dyDescent="0.2"/>
    <row r="131" ht="12.75" x14ac:dyDescent="0.2"/>
    <row r="132" ht="12.75" x14ac:dyDescent="0.2"/>
    <row r="133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</sheetData>
  <mergeCells count="147">
    <mergeCell ref="G44:I44"/>
    <mergeCell ref="J44:L44"/>
    <mergeCell ref="C45:F45"/>
    <mergeCell ref="G45:I45"/>
    <mergeCell ref="J45:L45"/>
    <mergeCell ref="C46:F46"/>
    <mergeCell ref="G46:I46"/>
    <mergeCell ref="J46:L46"/>
    <mergeCell ref="C47:F47"/>
    <mergeCell ref="G47:I47"/>
    <mergeCell ref="J47:L47"/>
    <mergeCell ref="C27:F27"/>
    <mergeCell ref="G27:I27"/>
    <mergeCell ref="J27:L27"/>
    <mergeCell ref="N27:N31"/>
    <mergeCell ref="O27:O31"/>
    <mergeCell ref="C28:F28"/>
    <mergeCell ref="G28:I28"/>
    <mergeCell ref="J28:L28"/>
    <mergeCell ref="C29:F29"/>
    <mergeCell ref="G29:I29"/>
    <mergeCell ref="J29:L29"/>
    <mergeCell ref="C30:F30"/>
    <mergeCell ref="G30:I30"/>
    <mergeCell ref="J30:L30"/>
    <mergeCell ref="C31:F31"/>
    <mergeCell ref="G31:I31"/>
    <mergeCell ref="J31:L31"/>
    <mergeCell ref="C43:F43"/>
    <mergeCell ref="G43:I43"/>
    <mergeCell ref="J43:L43"/>
    <mergeCell ref="N43:N47"/>
    <mergeCell ref="O43:O47"/>
    <mergeCell ref="C44:F44"/>
    <mergeCell ref="J64:L64"/>
    <mergeCell ref="B58:B59"/>
    <mergeCell ref="G58:I59"/>
    <mergeCell ref="J58:L59"/>
    <mergeCell ref="M58:M59"/>
    <mergeCell ref="N58:O58"/>
    <mergeCell ref="G61:I61"/>
    <mergeCell ref="J61:L61"/>
    <mergeCell ref="C62:F62"/>
    <mergeCell ref="G62:I62"/>
    <mergeCell ref="C61:F61"/>
    <mergeCell ref="N60:N64"/>
    <mergeCell ref="O60:O64"/>
    <mergeCell ref="C63:F63"/>
    <mergeCell ref="G63:I63"/>
    <mergeCell ref="J63:L63"/>
    <mergeCell ref="C64:F64"/>
    <mergeCell ref="G64:I64"/>
    <mergeCell ref="C58:F59"/>
    <mergeCell ref="C60:F60"/>
    <mergeCell ref="G60:I60"/>
    <mergeCell ref="J60:L60"/>
    <mergeCell ref="J62:L62"/>
    <mergeCell ref="C51:F51"/>
    <mergeCell ref="G51:I51"/>
    <mergeCell ref="J51:L51"/>
    <mergeCell ref="C52:F52"/>
    <mergeCell ref="G52:I52"/>
    <mergeCell ref="J52:L52"/>
    <mergeCell ref="C54:O54"/>
    <mergeCell ref="D56:O56"/>
    <mergeCell ref="C57:O57"/>
    <mergeCell ref="M14:M15"/>
    <mergeCell ref="N14:O14"/>
    <mergeCell ref="N16:N20"/>
    <mergeCell ref="O16:O20"/>
    <mergeCell ref="N32:N36"/>
    <mergeCell ref="O32:O36"/>
    <mergeCell ref="N48:N52"/>
    <mergeCell ref="O48:O52"/>
    <mergeCell ref="B10:O10"/>
    <mergeCell ref="D12:O12"/>
    <mergeCell ref="C13:O13"/>
    <mergeCell ref="B14:B15"/>
    <mergeCell ref="C14:F15"/>
    <mergeCell ref="G14:I15"/>
    <mergeCell ref="J14:L15"/>
    <mergeCell ref="G18:I18"/>
    <mergeCell ref="J18:L18"/>
    <mergeCell ref="C16:F16"/>
    <mergeCell ref="G16:I16"/>
    <mergeCell ref="J16:L16"/>
    <mergeCell ref="C17:F17"/>
    <mergeCell ref="G17:I17"/>
    <mergeCell ref="J17:L17"/>
    <mergeCell ref="C18:F18"/>
    <mergeCell ref="B2:C5"/>
    <mergeCell ref="B8:C8"/>
    <mergeCell ref="B9:C9"/>
    <mergeCell ref="D9:F9"/>
    <mergeCell ref="D2:M3"/>
    <mergeCell ref="N2:N3"/>
    <mergeCell ref="O2:O3"/>
    <mergeCell ref="D4:M5"/>
    <mergeCell ref="N4:N5"/>
    <mergeCell ref="O4:O5"/>
    <mergeCell ref="B7:O7"/>
    <mergeCell ref="G50:I50"/>
    <mergeCell ref="J50:L50"/>
    <mergeCell ref="C48:F48"/>
    <mergeCell ref="G48:I48"/>
    <mergeCell ref="J48:L48"/>
    <mergeCell ref="C49:F49"/>
    <mergeCell ref="G49:I49"/>
    <mergeCell ref="J49:L49"/>
    <mergeCell ref="C50:F50"/>
    <mergeCell ref="C35:F35"/>
    <mergeCell ref="G35:I35"/>
    <mergeCell ref="J35:L35"/>
    <mergeCell ref="C36:F36"/>
    <mergeCell ref="G36:I36"/>
    <mergeCell ref="J36:L36"/>
    <mergeCell ref="D39:O39"/>
    <mergeCell ref="C40:O40"/>
    <mergeCell ref="B41:B42"/>
    <mergeCell ref="C41:F42"/>
    <mergeCell ref="G41:I42"/>
    <mergeCell ref="J41:L42"/>
    <mergeCell ref="M41:M42"/>
    <mergeCell ref="N41:O41"/>
    <mergeCell ref="G34:I34"/>
    <mergeCell ref="J34:L34"/>
    <mergeCell ref="C32:F32"/>
    <mergeCell ref="G32:I32"/>
    <mergeCell ref="J32:L32"/>
    <mergeCell ref="C33:F33"/>
    <mergeCell ref="G33:I33"/>
    <mergeCell ref="J33:L33"/>
    <mergeCell ref="C34:F34"/>
    <mergeCell ref="C19:F19"/>
    <mergeCell ref="G19:I19"/>
    <mergeCell ref="J19:L19"/>
    <mergeCell ref="C20:F20"/>
    <mergeCell ref="G20:I20"/>
    <mergeCell ref="J20:L20"/>
    <mergeCell ref="D23:O23"/>
    <mergeCell ref="C24:O24"/>
    <mergeCell ref="B25:B26"/>
    <mergeCell ref="C25:F26"/>
    <mergeCell ref="G25:I26"/>
    <mergeCell ref="J25:L26"/>
    <mergeCell ref="M25:M26"/>
    <mergeCell ref="N25:O25"/>
  </mergeCells>
  <dataValidations count="1">
    <dataValidation type="list" allowBlank="1" showErrorMessage="1" sqref="C12 C23 C39 C56" xr:uid="{00000000-0002-0000-0000-000000000000}">
      <formula1>"SUCESSO,FALHA,NÃO TESTADO"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45"/>
  <sheetViews>
    <sheetView workbookViewId="0">
      <selection activeCell="D4" sqref="D4:M5"/>
    </sheetView>
  </sheetViews>
  <sheetFormatPr defaultColWidth="12.7109375" defaultRowHeight="15.75" customHeight="1" x14ac:dyDescent="0.2"/>
  <cols>
    <col min="3" max="3" width="17.7109375" customWidth="1"/>
  </cols>
  <sheetData>
    <row r="1" spans="1:16" ht="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x14ac:dyDescent="0.25">
      <c r="A2" s="1"/>
      <c r="B2" s="27"/>
      <c r="C2" s="27"/>
      <c r="D2" s="33" t="s">
        <v>0</v>
      </c>
      <c r="E2" s="34"/>
      <c r="F2" s="34"/>
      <c r="G2" s="34"/>
      <c r="H2" s="34"/>
      <c r="I2" s="34"/>
      <c r="J2" s="34"/>
      <c r="K2" s="34"/>
      <c r="L2" s="34"/>
      <c r="M2" s="34"/>
      <c r="N2" s="35" t="s">
        <v>1</v>
      </c>
      <c r="O2" s="36" t="s">
        <v>2</v>
      </c>
      <c r="P2" s="1"/>
    </row>
    <row r="3" spans="1:16" ht="15" x14ac:dyDescent="0.25">
      <c r="A3" s="1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"/>
    </row>
    <row r="4" spans="1:16" ht="15" x14ac:dyDescent="0.25">
      <c r="A4" s="1"/>
      <c r="B4" s="27"/>
      <c r="C4" s="27"/>
      <c r="D4" s="37"/>
      <c r="E4" s="27"/>
      <c r="F4" s="27"/>
      <c r="G4" s="27"/>
      <c r="H4" s="27"/>
      <c r="I4" s="27"/>
      <c r="J4" s="27"/>
      <c r="K4" s="27"/>
      <c r="L4" s="27"/>
      <c r="M4" s="27"/>
      <c r="N4" s="39" t="s">
        <v>3</v>
      </c>
      <c r="O4" s="40">
        <v>45266</v>
      </c>
      <c r="P4" s="1"/>
    </row>
    <row r="5" spans="1:16" ht="15" x14ac:dyDescent="0.25">
      <c r="A5" s="1"/>
      <c r="B5" s="27"/>
      <c r="C5" s="27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1"/>
    </row>
    <row r="6" spans="1:16" ht="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.75" x14ac:dyDescent="0.3">
      <c r="A7" s="1"/>
      <c r="B7" s="41" t="s">
        <v>4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1"/>
    </row>
    <row r="8" spans="1:16" ht="15" x14ac:dyDescent="0.25">
      <c r="A8" s="1"/>
      <c r="B8" s="31" t="s">
        <v>5</v>
      </c>
      <c r="C8" s="27"/>
      <c r="D8" s="3">
        <f>COUNTIFS(C2:C911,"SUCESSO")</f>
        <v>12</v>
      </c>
      <c r="E8" s="4">
        <f>COUNTIFS(C2:C911,"FALHA")</f>
        <v>0</v>
      </c>
      <c r="F8" s="5">
        <f>COUNTIFS(C2:C911,"NÃO TESTADO")</f>
        <v>0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x14ac:dyDescent="0.25">
      <c r="A9" s="1"/>
      <c r="B9" s="31" t="s">
        <v>6</v>
      </c>
      <c r="C9" s="27"/>
      <c r="D9" s="32">
        <f>SUM(D8:F8)</f>
        <v>12</v>
      </c>
      <c r="E9" s="27"/>
      <c r="F9" s="27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3.25" x14ac:dyDescent="0.35">
      <c r="A10" s="1"/>
      <c r="B10" s="46" t="s">
        <v>85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1"/>
    </row>
    <row r="11" spans="1:16" ht="15" x14ac:dyDescent="0.25">
      <c r="A11" s="1"/>
      <c r="B11" s="2" t="s">
        <v>7</v>
      </c>
      <c r="P11" s="1"/>
    </row>
    <row r="12" spans="1:16" ht="15" x14ac:dyDescent="0.25">
      <c r="A12" s="1"/>
      <c r="B12" s="6" t="s">
        <v>8</v>
      </c>
      <c r="C12" s="7" t="s">
        <v>9</v>
      </c>
      <c r="D12" s="20" t="s">
        <v>78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  <c r="P12" s="1"/>
    </row>
    <row r="13" spans="1:16" ht="15" x14ac:dyDescent="0.25">
      <c r="A13" s="1"/>
      <c r="B13" s="8" t="s">
        <v>10</v>
      </c>
      <c r="C13" s="23" t="s">
        <v>79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5"/>
      <c r="P13" s="1"/>
    </row>
    <row r="14" spans="1:16" ht="15" x14ac:dyDescent="0.25">
      <c r="A14" s="1"/>
      <c r="B14" s="26" t="s">
        <v>12</v>
      </c>
      <c r="C14" s="26" t="s">
        <v>13</v>
      </c>
      <c r="D14" s="27"/>
      <c r="E14" s="27"/>
      <c r="F14" s="27"/>
      <c r="G14" s="26" t="s">
        <v>14</v>
      </c>
      <c r="H14" s="27"/>
      <c r="I14" s="27"/>
      <c r="J14" s="26" t="s">
        <v>15</v>
      </c>
      <c r="K14" s="27"/>
      <c r="L14" s="27"/>
      <c r="M14" s="26" t="s">
        <v>16</v>
      </c>
      <c r="N14" s="26" t="s">
        <v>17</v>
      </c>
      <c r="O14" s="27"/>
      <c r="P14" s="1"/>
    </row>
    <row r="15" spans="1:16" ht="15" x14ac:dyDescent="0.25">
      <c r="A15" s="1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9" t="s">
        <v>18</v>
      </c>
      <c r="O15" s="9" t="s">
        <v>19</v>
      </c>
      <c r="P15" s="1"/>
    </row>
    <row r="16" spans="1:16" ht="15" x14ac:dyDescent="0.25">
      <c r="A16" s="1"/>
      <c r="B16" s="10">
        <v>1</v>
      </c>
      <c r="C16" s="28" t="s">
        <v>80</v>
      </c>
      <c r="D16" s="18"/>
      <c r="E16" s="18"/>
      <c r="F16" s="19"/>
      <c r="G16" s="53" t="s">
        <v>20</v>
      </c>
      <c r="H16" s="18"/>
      <c r="I16" s="19"/>
      <c r="J16" s="30" t="s">
        <v>81</v>
      </c>
      <c r="K16" s="18"/>
      <c r="L16" s="19"/>
      <c r="M16" s="11" t="s">
        <v>20</v>
      </c>
      <c r="N16" s="43"/>
      <c r="O16" s="43"/>
      <c r="P16" s="1"/>
    </row>
    <row r="17" spans="1:16" ht="15" x14ac:dyDescent="0.25">
      <c r="A17" s="1"/>
      <c r="B17" s="10"/>
      <c r="C17" s="17"/>
      <c r="D17" s="18"/>
      <c r="E17" s="18"/>
      <c r="F17" s="19"/>
      <c r="G17" s="17"/>
      <c r="H17" s="18"/>
      <c r="I17" s="19"/>
      <c r="J17" s="17"/>
      <c r="K17" s="18"/>
      <c r="L17" s="19"/>
      <c r="M17" s="12"/>
      <c r="N17" s="44"/>
      <c r="O17" s="44"/>
      <c r="P17" s="1"/>
    </row>
    <row r="18" spans="1:16" ht="15" x14ac:dyDescent="0.25">
      <c r="A18" s="1"/>
      <c r="B18" s="10"/>
      <c r="C18" s="17"/>
      <c r="D18" s="18"/>
      <c r="E18" s="18"/>
      <c r="F18" s="19"/>
      <c r="G18" s="17"/>
      <c r="H18" s="18"/>
      <c r="I18" s="19"/>
      <c r="J18" s="17"/>
      <c r="K18" s="18"/>
      <c r="L18" s="19"/>
      <c r="M18" s="12"/>
      <c r="N18" s="44"/>
      <c r="O18" s="44"/>
      <c r="P18" s="1"/>
    </row>
    <row r="19" spans="1:16" ht="15" x14ac:dyDescent="0.25">
      <c r="A19" s="1"/>
      <c r="B19" s="10"/>
      <c r="C19" s="17"/>
      <c r="D19" s="18"/>
      <c r="E19" s="18"/>
      <c r="F19" s="19"/>
      <c r="G19" s="17"/>
      <c r="H19" s="18"/>
      <c r="I19" s="19"/>
      <c r="J19" s="17"/>
      <c r="K19" s="18"/>
      <c r="L19" s="19"/>
      <c r="M19" s="12"/>
      <c r="N19" s="44"/>
      <c r="O19" s="44"/>
      <c r="P19" s="1"/>
    </row>
    <row r="20" spans="1:16" ht="15" x14ac:dyDescent="0.25">
      <c r="A20" s="1"/>
      <c r="B20" s="10"/>
      <c r="C20" s="17"/>
      <c r="D20" s="18"/>
      <c r="E20" s="18"/>
      <c r="F20" s="19"/>
      <c r="G20" s="17"/>
      <c r="H20" s="18"/>
      <c r="I20" s="19"/>
      <c r="J20" s="17"/>
      <c r="K20" s="18"/>
      <c r="L20" s="19"/>
      <c r="M20" s="12"/>
      <c r="N20" s="45"/>
      <c r="O20" s="45"/>
      <c r="P20" s="1"/>
    </row>
    <row r="22" spans="1:16" ht="15" x14ac:dyDescent="0.25">
      <c r="B22" s="2" t="s">
        <v>7</v>
      </c>
    </row>
    <row r="23" spans="1:16" ht="15" x14ac:dyDescent="0.25">
      <c r="B23" s="6" t="s">
        <v>21</v>
      </c>
      <c r="C23" s="7" t="s">
        <v>9</v>
      </c>
      <c r="D23" s="20" t="s">
        <v>22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2"/>
    </row>
    <row r="24" spans="1:16" ht="15" x14ac:dyDescent="0.25">
      <c r="B24" s="8" t="s">
        <v>10</v>
      </c>
      <c r="C24" s="23" t="s">
        <v>11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</row>
    <row r="25" spans="1:16" ht="15" x14ac:dyDescent="0.25">
      <c r="B25" s="26" t="s">
        <v>12</v>
      </c>
      <c r="C25" s="26" t="s">
        <v>13</v>
      </c>
      <c r="D25" s="27"/>
      <c r="E25" s="27"/>
      <c r="F25" s="27"/>
      <c r="G25" s="26" t="s">
        <v>14</v>
      </c>
      <c r="H25" s="27"/>
      <c r="I25" s="27"/>
      <c r="J25" s="26" t="s">
        <v>15</v>
      </c>
      <c r="K25" s="27"/>
      <c r="L25" s="27"/>
      <c r="M25" s="26" t="s">
        <v>16</v>
      </c>
      <c r="N25" s="26" t="s">
        <v>17</v>
      </c>
      <c r="O25" s="27"/>
    </row>
    <row r="26" spans="1:16" ht="15" x14ac:dyDescent="0.25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9" t="s">
        <v>18</v>
      </c>
      <c r="O26" s="9" t="s">
        <v>19</v>
      </c>
    </row>
    <row r="27" spans="1:16" ht="15" x14ac:dyDescent="0.25">
      <c r="B27" s="10">
        <v>1</v>
      </c>
      <c r="C27" s="28" t="s">
        <v>23</v>
      </c>
      <c r="D27" s="18"/>
      <c r="E27" s="18"/>
      <c r="F27" s="19"/>
      <c r="G27" s="29" t="s">
        <v>24</v>
      </c>
      <c r="H27" s="18"/>
      <c r="I27" s="19"/>
      <c r="J27" s="30" t="s">
        <v>25</v>
      </c>
      <c r="K27" s="18"/>
      <c r="L27" s="19"/>
      <c r="M27" s="11" t="s">
        <v>20</v>
      </c>
      <c r="N27" s="43"/>
      <c r="O27" s="43"/>
    </row>
    <row r="28" spans="1:16" ht="15" x14ac:dyDescent="0.25">
      <c r="B28" s="10"/>
      <c r="C28" s="17"/>
      <c r="D28" s="18"/>
      <c r="E28" s="18"/>
      <c r="F28" s="19"/>
      <c r="G28" s="17"/>
      <c r="H28" s="18"/>
      <c r="I28" s="19"/>
      <c r="J28" s="17"/>
      <c r="K28" s="18"/>
      <c r="L28" s="19"/>
      <c r="M28" s="12"/>
      <c r="N28" s="44"/>
      <c r="O28" s="44"/>
    </row>
    <row r="29" spans="1:16" ht="15" x14ac:dyDescent="0.25">
      <c r="B29" s="10"/>
      <c r="C29" s="17"/>
      <c r="D29" s="18"/>
      <c r="E29" s="18"/>
      <c r="F29" s="19"/>
      <c r="G29" s="17"/>
      <c r="H29" s="18"/>
      <c r="I29" s="19"/>
      <c r="J29" s="17"/>
      <c r="K29" s="18"/>
      <c r="L29" s="19"/>
      <c r="M29" s="12"/>
      <c r="N29" s="44"/>
      <c r="O29" s="44"/>
    </row>
    <row r="30" spans="1:16" ht="15" x14ac:dyDescent="0.25">
      <c r="B30" s="10"/>
      <c r="C30" s="17"/>
      <c r="D30" s="18"/>
      <c r="E30" s="18"/>
      <c r="F30" s="19"/>
      <c r="G30" s="17"/>
      <c r="H30" s="18"/>
      <c r="I30" s="19"/>
      <c r="J30" s="17"/>
      <c r="K30" s="18"/>
      <c r="L30" s="19"/>
      <c r="M30" s="12"/>
      <c r="N30" s="44"/>
      <c r="O30" s="44"/>
    </row>
    <row r="31" spans="1:16" ht="15" x14ac:dyDescent="0.25">
      <c r="B31" s="10"/>
      <c r="C31" s="17"/>
      <c r="D31" s="18"/>
      <c r="E31" s="18"/>
      <c r="F31" s="19"/>
      <c r="G31" s="17"/>
      <c r="H31" s="18"/>
      <c r="I31" s="19"/>
      <c r="J31" s="17"/>
      <c r="K31" s="18"/>
      <c r="L31" s="19"/>
      <c r="M31" s="12"/>
      <c r="N31" s="45"/>
      <c r="O31" s="45"/>
    </row>
    <row r="33" spans="2:15" ht="15" x14ac:dyDescent="0.25">
      <c r="B33" s="2" t="s">
        <v>7</v>
      </c>
    </row>
    <row r="34" spans="2:15" ht="15" x14ac:dyDescent="0.25">
      <c r="B34" s="6" t="s">
        <v>26</v>
      </c>
      <c r="C34" s="7" t="s">
        <v>9</v>
      </c>
      <c r="D34" s="20" t="s">
        <v>27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2"/>
    </row>
    <row r="35" spans="2:15" ht="15" x14ac:dyDescent="0.25">
      <c r="B35" s="8" t="s">
        <v>10</v>
      </c>
      <c r="C35" s="23" t="s">
        <v>28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/>
    </row>
    <row r="36" spans="2:15" ht="15" x14ac:dyDescent="0.25">
      <c r="B36" s="26" t="s">
        <v>12</v>
      </c>
      <c r="C36" s="26" t="s">
        <v>13</v>
      </c>
      <c r="D36" s="27"/>
      <c r="E36" s="27"/>
      <c r="F36" s="27"/>
      <c r="G36" s="26" t="s">
        <v>14</v>
      </c>
      <c r="H36" s="27"/>
      <c r="I36" s="27"/>
      <c r="J36" s="26" t="s">
        <v>15</v>
      </c>
      <c r="K36" s="27"/>
      <c r="L36" s="27"/>
      <c r="M36" s="26" t="s">
        <v>16</v>
      </c>
      <c r="N36" s="26" t="s">
        <v>17</v>
      </c>
      <c r="O36" s="27"/>
    </row>
    <row r="37" spans="2:15" ht="15" x14ac:dyDescent="0.25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9" t="s">
        <v>18</v>
      </c>
      <c r="O37" s="9" t="s">
        <v>19</v>
      </c>
    </row>
    <row r="38" spans="2:15" ht="15" x14ac:dyDescent="0.25">
      <c r="B38" s="10">
        <v>1</v>
      </c>
      <c r="C38" s="28" t="s">
        <v>23</v>
      </c>
      <c r="D38" s="18"/>
      <c r="E38" s="18"/>
      <c r="F38" s="19"/>
      <c r="G38" s="29" t="s">
        <v>24</v>
      </c>
      <c r="H38" s="18"/>
      <c r="I38" s="19"/>
      <c r="J38" s="30" t="s">
        <v>29</v>
      </c>
      <c r="K38" s="18"/>
      <c r="L38" s="19"/>
      <c r="M38" s="11" t="s">
        <v>20</v>
      </c>
      <c r="N38" s="43"/>
      <c r="O38" s="43"/>
    </row>
    <row r="39" spans="2:15" ht="15" x14ac:dyDescent="0.25">
      <c r="B39" s="10"/>
      <c r="C39" s="17"/>
      <c r="D39" s="18"/>
      <c r="E39" s="18"/>
      <c r="F39" s="19"/>
      <c r="G39" s="17"/>
      <c r="H39" s="18"/>
      <c r="I39" s="19"/>
      <c r="J39" s="17"/>
      <c r="K39" s="18"/>
      <c r="L39" s="19"/>
      <c r="M39" s="12"/>
      <c r="N39" s="44"/>
      <c r="O39" s="44"/>
    </row>
    <row r="40" spans="2:15" ht="15" x14ac:dyDescent="0.25">
      <c r="B40" s="10"/>
      <c r="C40" s="17"/>
      <c r="D40" s="18"/>
      <c r="E40" s="18"/>
      <c r="F40" s="19"/>
      <c r="G40" s="17"/>
      <c r="H40" s="18"/>
      <c r="I40" s="19"/>
      <c r="J40" s="17"/>
      <c r="K40" s="18"/>
      <c r="L40" s="19"/>
      <c r="M40" s="12"/>
      <c r="N40" s="44"/>
      <c r="O40" s="44"/>
    </row>
    <row r="41" spans="2:15" ht="15" x14ac:dyDescent="0.25">
      <c r="B41" s="10"/>
      <c r="C41" s="17"/>
      <c r="D41" s="18"/>
      <c r="E41" s="18"/>
      <c r="F41" s="19"/>
      <c r="G41" s="17"/>
      <c r="H41" s="18"/>
      <c r="I41" s="19"/>
      <c r="J41" s="17"/>
      <c r="K41" s="18"/>
      <c r="L41" s="19"/>
      <c r="M41" s="12"/>
      <c r="N41" s="44"/>
      <c r="O41" s="44"/>
    </row>
    <row r="42" spans="2:15" ht="15" x14ac:dyDescent="0.25">
      <c r="B42" s="10"/>
      <c r="C42" s="17"/>
      <c r="D42" s="18"/>
      <c r="E42" s="18"/>
      <c r="F42" s="19"/>
      <c r="G42" s="17"/>
      <c r="H42" s="18"/>
      <c r="I42" s="19"/>
      <c r="J42" s="17"/>
      <c r="K42" s="18"/>
      <c r="L42" s="19"/>
      <c r="M42" s="12"/>
      <c r="N42" s="45"/>
      <c r="O42" s="45"/>
    </row>
    <row r="44" spans="2:15" ht="15" x14ac:dyDescent="0.25">
      <c r="B44" s="1"/>
      <c r="C44" s="48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5" x14ac:dyDescent="0.25">
      <c r="B45" s="2" t="s">
        <v>7</v>
      </c>
    </row>
    <row r="46" spans="2:15" ht="15" x14ac:dyDescent="0.25">
      <c r="B46" s="6" t="s">
        <v>30</v>
      </c>
      <c r="C46" s="7" t="s">
        <v>9</v>
      </c>
      <c r="D46" s="20" t="s">
        <v>31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2"/>
    </row>
    <row r="47" spans="2:15" ht="15" x14ac:dyDescent="0.25">
      <c r="B47" s="8" t="s">
        <v>10</v>
      </c>
      <c r="C47" s="23" t="s">
        <v>28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5"/>
    </row>
    <row r="48" spans="2:15" ht="15" x14ac:dyDescent="0.25">
      <c r="B48" s="26" t="s">
        <v>12</v>
      </c>
      <c r="C48" s="26" t="s">
        <v>13</v>
      </c>
      <c r="D48" s="27"/>
      <c r="E48" s="27"/>
      <c r="F48" s="27"/>
      <c r="G48" s="26" t="s">
        <v>14</v>
      </c>
      <c r="H48" s="27"/>
      <c r="I48" s="27"/>
      <c r="J48" s="26" t="s">
        <v>15</v>
      </c>
      <c r="K48" s="27"/>
      <c r="L48" s="27"/>
      <c r="M48" s="26" t="s">
        <v>16</v>
      </c>
      <c r="N48" s="26" t="s">
        <v>17</v>
      </c>
      <c r="O48" s="27"/>
    </row>
    <row r="49" spans="2:15" ht="15" x14ac:dyDescent="0.25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9" t="s">
        <v>18</v>
      </c>
      <c r="O49" s="9" t="s">
        <v>19</v>
      </c>
    </row>
    <row r="50" spans="2:15" ht="15" x14ac:dyDescent="0.2">
      <c r="B50" s="10">
        <v>1</v>
      </c>
      <c r="C50" s="28" t="s">
        <v>32</v>
      </c>
      <c r="D50" s="18"/>
      <c r="E50" s="18"/>
      <c r="F50" s="19"/>
      <c r="G50" s="29" t="s">
        <v>33</v>
      </c>
      <c r="H50" s="18"/>
      <c r="I50" s="19"/>
      <c r="J50" s="29" t="s">
        <v>34</v>
      </c>
      <c r="K50" s="18"/>
      <c r="L50" s="19"/>
      <c r="M50" s="11" t="s">
        <v>20</v>
      </c>
      <c r="N50" s="43"/>
      <c r="O50" s="43"/>
    </row>
    <row r="51" spans="2:15" ht="15" x14ac:dyDescent="0.25">
      <c r="B51" s="10"/>
      <c r="C51" s="17"/>
      <c r="D51" s="18"/>
      <c r="E51" s="18"/>
      <c r="F51" s="19"/>
      <c r="G51" s="17"/>
      <c r="H51" s="18"/>
      <c r="I51" s="19"/>
      <c r="J51" s="17"/>
      <c r="K51" s="18"/>
      <c r="L51" s="19"/>
      <c r="M51" s="12"/>
      <c r="N51" s="44"/>
      <c r="O51" s="44"/>
    </row>
    <row r="52" spans="2:15" ht="15" x14ac:dyDescent="0.25">
      <c r="B52" s="10"/>
      <c r="C52" s="17"/>
      <c r="D52" s="18"/>
      <c r="E52" s="18"/>
      <c r="F52" s="19"/>
      <c r="G52" s="17"/>
      <c r="H52" s="18"/>
      <c r="I52" s="19"/>
      <c r="J52" s="17"/>
      <c r="K52" s="18"/>
      <c r="L52" s="19"/>
      <c r="M52" s="12"/>
      <c r="N52" s="44"/>
      <c r="O52" s="44"/>
    </row>
    <row r="53" spans="2:15" ht="15" x14ac:dyDescent="0.25">
      <c r="B53" s="10"/>
      <c r="C53" s="17"/>
      <c r="D53" s="18"/>
      <c r="E53" s="18"/>
      <c r="F53" s="19"/>
      <c r="G53" s="17"/>
      <c r="H53" s="18"/>
      <c r="I53" s="19"/>
      <c r="J53" s="17"/>
      <c r="K53" s="18"/>
      <c r="L53" s="19"/>
      <c r="M53" s="12"/>
      <c r="N53" s="44"/>
      <c r="O53" s="44"/>
    </row>
    <row r="54" spans="2:15" ht="15" x14ac:dyDescent="0.25">
      <c r="B54" s="10"/>
      <c r="C54" s="17"/>
      <c r="D54" s="18"/>
      <c r="E54" s="18"/>
      <c r="F54" s="19"/>
      <c r="G54" s="17"/>
      <c r="H54" s="18"/>
      <c r="I54" s="19"/>
      <c r="J54" s="17"/>
      <c r="K54" s="18"/>
      <c r="L54" s="19"/>
      <c r="M54" s="12"/>
      <c r="N54" s="45"/>
      <c r="O54" s="45"/>
    </row>
    <row r="56" spans="2:15" ht="15" x14ac:dyDescent="0.25">
      <c r="B56" s="1"/>
      <c r="C56" s="48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ht="15" x14ac:dyDescent="0.25">
      <c r="B57" s="2" t="s">
        <v>7</v>
      </c>
    </row>
    <row r="58" spans="2:15" ht="15" x14ac:dyDescent="0.25">
      <c r="B58" s="6" t="s">
        <v>35</v>
      </c>
      <c r="C58" s="7" t="s">
        <v>9</v>
      </c>
      <c r="D58" s="20" t="s">
        <v>36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2"/>
    </row>
    <row r="59" spans="2:15" ht="15" x14ac:dyDescent="0.25">
      <c r="B59" s="8" t="s">
        <v>10</v>
      </c>
      <c r="C59" s="23" t="s">
        <v>28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5"/>
    </row>
    <row r="60" spans="2:15" ht="15" x14ac:dyDescent="0.25">
      <c r="B60" s="26" t="s">
        <v>12</v>
      </c>
      <c r="C60" s="26" t="s">
        <v>13</v>
      </c>
      <c r="D60" s="27"/>
      <c r="E60" s="27"/>
      <c r="F60" s="27"/>
      <c r="G60" s="26" t="s">
        <v>14</v>
      </c>
      <c r="H60" s="27"/>
      <c r="I60" s="27"/>
      <c r="J60" s="26" t="s">
        <v>15</v>
      </c>
      <c r="K60" s="27"/>
      <c r="L60" s="27"/>
      <c r="M60" s="26" t="s">
        <v>16</v>
      </c>
      <c r="N60" s="26" t="s">
        <v>17</v>
      </c>
      <c r="O60" s="27"/>
    </row>
    <row r="61" spans="2:15" ht="15" x14ac:dyDescent="0.25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9" t="s">
        <v>18</v>
      </c>
      <c r="O61" s="9" t="s">
        <v>19</v>
      </c>
    </row>
    <row r="62" spans="2:15" ht="45" customHeight="1" x14ac:dyDescent="0.2">
      <c r="B62" s="10">
        <v>1</v>
      </c>
      <c r="C62" s="28" t="s">
        <v>37</v>
      </c>
      <c r="D62" s="18"/>
      <c r="E62" s="18"/>
      <c r="F62" s="19"/>
      <c r="G62" s="29" t="s">
        <v>38</v>
      </c>
      <c r="H62" s="18"/>
      <c r="I62" s="19"/>
      <c r="J62" s="52" t="s">
        <v>39</v>
      </c>
      <c r="K62" s="18"/>
      <c r="L62" s="19"/>
      <c r="M62" s="11" t="s">
        <v>20</v>
      </c>
      <c r="N62" s="43"/>
      <c r="O62" s="43"/>
    </row>
    <row r="63" spans="2:15" ht="15" x14ac:dyDescent="0.25">
      <c r="B63" s="10"/>
      <c r="C63" s="17"/>
      <c r="D63" s="18"/>
      <c r="E63" s="18"/>
      <c r="F63" s="19"/>
      <c r="G63" s="17"/>
      <c r="H63" s="18"/>
      <c r="I63" s="19"/>
      <c r="J63" s="17"/>
      <c r="K63" s="18"/>
      <c r="L63" s="19"/>
      <c r="M63" s="12"/>
      <c r="N63" s="44"/>
      <c r="O63" s="44"/>
    </row>
    <row r="64" spans="2:15" ht="15" x14ac:dyDescent="0.25">
      <c r="B64" s="10"/>
      <c r="C64" s="17"/>
      <c r="D64" s="18"/>
      <c r="E64" s="18"/>
      <c r="F64" s="19"/>
      <c r="G64" s="17"/>
      <c r="H64" s="18"/>
      <c r="I64" s="19"/>
      <c r="J64" s="17"/>
      <c r="K64" s="18"/>
      <c r="L64" s="19"/>
      <c r="M64" s="12"/>
      <c r="N64" s="44"/>
      <c r="O64" s="44"/>
    </row>
    <row r="65" spans="2:15" ht="15" x14ac:dyDescent="0.25">
      <c r="B65" s="10"/>
      <c r="C65" s="17"/>
      <c r="D65" s="18"/>
      <c r="E65" s="18"/>
      <c r="F65" s="19"/>
      <c r="G65" s="17"/>
      <c r="H65" s="18"/>
      <c r="I65" s="19"/>
      <c r="J65" s="17"/>
      <c r="K65" s="18"/>
      <c r="L65" s="19"/>
      <c r="M65" s="12"/>
      <c r="N65" s="44"/>
      <c r="O65" s="44"/>
    </row>
    <row r="66" spans="2:15" ht="15" x14ac:dyDescent="0.25">
      <c r="B66" s="10"/>
      <c r="C66" s="17"/>
      <c r="D66" s="18"/>
      <c r="E66" s="18"/>
      <c r="F66" s="19"/>
      <c r="G66" s="17"/>
      <c r="H66" s="18"/>
      <c r="I66" s="19"/>
      <c r="J66" s="17"/>
      <c r="K66" s="18"/>
      <c r="L66" s="19"/>
      <c r="M66" s="12"/>
      <c r="N66" s="45"/>
      <c r="O66" s="45"/>
    </row>
    <row r="68" spans="2:15" ht="15" x14ac:dyDescent="0.25">
      <c r="B68" s="2" t="s">
        <v>7</v>
      </c>
    </row>
    <row r="69" spans="2:15" ht="15" x14ac:dyDescent="0.25">
      <c r="B69" s="6" t="s">
        <v>40</v>
      </c>
      <c r="C69" s="7" t="s">
        <v>9</v>
      </c>
      <c r="D69" s="20" t="s">
        <v>41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2"/>
    </row>
    <row r="70" spans="2:15" ht="15" x14ac:dyDescent="0.25">
      <c r="B70" s="8" t="s">
        <v>10</v>
      </c>
      <c r="C70" s="23" t="s">
        <v>28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5"/>
    </row>
    <row r="71" spans="2:15" ht="15" x14ac:dyDescent="0.25">
      <c r="B71" s="8" t="s">
        <v>10</v>
      </c>
      <c r="C71" s="23" t="s">
        <v>42</v>
      </c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5"/>
    </row>
    <row r="72" spans="2:15" ht="15" x14ac:dyDescent="0.25">
      <c r="B72" s="26" t="s">
        <v>12</v>
      </c>
      <c r="C72" s="26" t="s">
        <v>13</v>
      </c>
      <c r="D72" s="27"/>
      <c r="E72" s="27"/>
      <c r="F72" s="27"/>
      <c r="G72" s="26" t="s">
        <v>14</v>
      </c>
      <c r="H72" s="27"/>
      <c r="I72" s="27"/>
      <c r="J72" s="26" t="s">
        <v>15</v>
      </c>
      <c r="K72" s="27"/>
      <c r="L72" s="27"/>
      <c r="M72" s="26" t="s">
        <v>16</v>
      </c>
      <c r="N72" s="26" t="s">
        <v>17</v>
      </c>
      <c r="O72" s="27"/>
    </row>
    <row r="73" spans="2:15" ht="15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9" t="s">
        <v>18</v>
      </c>
      <c r="O73" s="9" t="s">
        <v>19</v>
      </c>
    </row>
    <row r="74" spans="2:15" ht="45" customHeight="1" x14ac:dyDescent="0.2">
      <c r="B74" s="10">
        <v>1</v>
      </c>
      <c r="C74" s="29" t="s">
        <v>43</v>
      </c>
      <c r="D74" s="18"/>
      <c r="E74" s="18"/>
      <c r="F74" s="19"/>
      <c r="G74" s="29" t="s">
        <v>44</v>
      </c>
      <c r="H74" s="18"/>
      <c r="I74" s="19"/>
      <c r="J74" s="47" t="s">
        <v>45</v>
      </c>
      <c r="K74" s="18"/>
      <c r="L74" s="19"/>
      <c r="M74" s="11" t="s">
        <v>20</v>
      </c>
      <c r="N74" s="43"/>
      <c r="O74" s="43"/>
    </row>
    <row r="75" spans="2:15" ht="15" x14ac:dyDescent="0.2">
      <c r="B75" s="10">
        <v>2</v>
      </c>
      <c r="C75" s="51" t="s">
        <v>46</v>
      </c>
      <c r="D75" s="18"/>
      <c r="E75" s="18"/>
      <c r="F75" s="19"/>
      <c r="G75" s="49" t="s">
        <v>47</v>
      </c>
      <c r="H75" s="18"/>
      <c r="I75" s="19"/>
      <c r="J75" s="49" t="s">
        <v>48</v>
      </c>
      <c r="K75" s="18"/>
      <c r="L75" s="19"/>
      <c r="M75" s="11" t="s">
        <v>20</v>
      </c>
      <c r="N75" s="44"/>
      <c r="O75" s="44"/>
    </row>
    <row r="76" spans="2:15" ht="15" x14ac:dyDescent="0.2">
      <c r="B76" s="10">
        <v>3</v>
      </c>
      <c r="C76" s="17" t="s">
        <v>49</v>
      </c>
      <c r="D76" s="18"/>
      <c r="E76" s="18"/>
      <c r="F76" s="19"/>
      <c r="G76" s="47" t="s">
        <v>45</v>
      </c>
      <c r="H76" s="18"/>
      <c r="I76" s="19"/>
      <c r="J76" s="47" t="s">
        <v>45</v>
      </c>
      <c r="K76" s="18"/>
      <c r="L76" s="19"/>
      <c r="M76" s="11" t="s">
        <v>20</v>
      </c>
      <c r="N76" s="44"/>
      <c r="O76" s="44"/>
    </row>
    <row r="77" spans="2:15" ht="15" x14ac:dyDescent="0.2">
      <c r="B77" s="10">
        <v>4</v>
      </c>
      <c r="C77" s="50" t="s">
        <v>50</v>
      </c>
      <c r="D77" s="18"/>
      <c r="E77" s="18"/>
      <c r="F77" s="19"/>
      <c r="G77" s="49" t="s">
        <v>51</v>
      </c>
      <c r="H77" s="18"/>
      <c r="I77" s="19"/>
      <c r="J77" s="29" t="s">
        <v>52</v>
      </c>
      <c r="K77" s="18"/>
      <c r="L77" s="19"/>
      <c r="M77" s="11" t="s">
        <v>20</v>
      </c>
      <c r="N77" s="44"/>
      <c r="O77" s="44"/>
    </row>
    <row r="78" spans="2:15" ht="15" x14ac:dyDescent="0.25">
      <c r="B78" s="10"/>
      <c r="C78" s="17"/>
      <c r="D78" s="18"/>
      <c r="E78" s="18"/>
      <c r="F78" s="19"/>
      <c r="G78" s="17"/>
      <c r="H78" s="18"/>
      <c r="I78" s="19"/>
      <c r="J78" s="17"/>
      <c r="K78" s="18"/>
      <c r="L78" s="19"/>
      <c r="M78" s="12"/>
      <c r="N78" s="45"/>
      <c r="O78" s="45"/>
    </row>
    <row r="80" spans="2:15" ht="15" x14ac:dyDescent="0.25">
      <c r="B80" s="2" t="s">
        <v>7</v>
      </c>
    </row>
    <row r="81" spans="2:15" ht="15" x14ac:dyDescent="0.25">
      <c r="B81" s="6" t="s">
        <v>53</v>
      </c>
      <c r="C81" s="7" t="s">
        <v>9</v>
      </c>
      <c r="D81" s="20" t="s">
        <v>54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2"/>
    </row>
    <row r="82" spans="2:15" ht="15" x14ac:dyDescent="0.25">
      <c r="B82" s="8" t="s">
        <v>10</v>
      </c>
      <c r="C82" s="23" t="s">
        <v>28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5"/>
    </row>
    <row r="83" spans="2:15" ht="15" x14ac:dyDescent="0.25">
      <c r="B83" s="26" t="s">
        <v>12</v>
      </c>
      <c r="C83" s="26" t="s">
        <v>13</v>
      </c>
      <c r="D83" s="27"/>
      <c r="E83" s="27"/>
      <c r="F83" s="27"/>
      <c r="G83" s="26" t="s">
        <v>14</v>
      </c>
      <c r="H83" s="27"/>
      <c r="I83" s="27"/>
      <c r="J83" s="26" t="s">
        <v>15</v>
      </c>
      <c r="K83" s="27"/>
      <c r="L83" s="27"/>
      <c r="M83" s="26" t="s">
        <v>16</v>
      </c>
      <c r="N83" s="26" t="s">
        <v>17</v>
      </c>
      <c r="O83" s="27"/>
    </row>
    <row r="84" spans="2:15" ht="15" x14ac:dyDescent="0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9" t="s">
        <v>18</v>
      </c>
      <c r="O84" s="9" t="s">
        <v>19</v>
      </c>
    </row>
    <row r="85" spans="2:15" ht="45" customHeight="1" x14ac:dyDescent="0.25">
      <c r="B85" s="10">
        <v>1</v>
      </c>
      <c r="C85" s="29" t="s">
        <v>55</v>
      </c>
      <c r="D85" s="18"/>
      <c r="E85" s="18"/>
      <c r="F85" s="19"/>
      <c r="G85" s="29" t="s">
        <v>56</v>
      </c>
      <c r="H85" s="18"/>
      <c r="I85" s="19"/>
      <c r="J85" s="47" t="s">
        <v>45</v>
      </c>
      <c r="K85" s="18"/>
      <c r="L85" s="19"/>
      <c r="M85" s="11" t="s">
        <v>20</v>
      </c>
      <c r="N85" s="13"/>
      <c r="O85" s="13"/>
    </row>
    <row r="86" spans="2:15" ht="15" x14ac:dyDescent="0.2">
      <c r="B86" s="10">
        <v>2</v>
      </c>
      <c r="C86" s="49" t="s">
        <v>46</v>
      </c>
      <c r="D86" s="18"/>
      <c r="E86" s="18"/>
      <c r="F86" s="19"/>
      <c r="G86" s="49" t="s">
        <v>47</v>
      </c>
      <c r="H86" s="18"/>
      <c r="I86" s="19"/>
      <c r="J86" s="49" t="s">
        <v>48</v>
      </c>
      <c r="K86" s="18"/>
      <c r="L86" s="19"/>
      <c r="M86" s="11" t="s">
        <v>20</v>
      </c>
    </row>
    <row r="87" spans="2:15" ht="15" x14ac:dyDescent="0.2">
      <c r="B87" s="10">
        <v>3</v>
      </c>
      <c r="C87" s="17" t="s">
        <v>49</v>
      </c>
      <c r="D87" s="18"/>
      <c r="E87" s="18"/>
      <c r="F87" s="19"/>
      <c r="G87" s="47" t="s">
        <v>45</v>
      </c>
      <c r="H87" s="18"/>
      <c r="I87" s="19"/>
      <c r="J87" s="47" t="s">
        <v>45</v>
      </c>
      <c r="K87" s="18"/>
      <c r="L87" s="19"/>
      <c r="M87" s="11" t="s">
        <v>20</v>
      </c>
    </row>
    <row r="88" spans="2:15" ht="15" x14ac:dyDescent="0.2">
      <c r="B88" s="10">
        <v>4</v>
      </c>
      <c r="C88" s="50" t="s">
        <v>50</v>
      </c>
      <c r="D88" s="18"/>
      <c r="E88" s="18"/>
      <c r="F88" s="19"/>
      <c r="G88" s="49" t="s">
        <v>51</v>
      </c>
      <c r="H88" s="18"/>
      <c r="I88" s="19"/>
      <c r="J88" s="29" t="s">
        <v>57</v>
      </c>
      <c r="K88" s="18"/>
      <c r="L88" s="19"/>
      <c r="M88" s="11" t="s">
        <v>20</v>
      </c>
    </row>
    <row r="89" spans="2:15" ht="15" x14ac:dyDescent="0.25">
      <c r="B89" s="10"/>
      <c r="C89" s="17"/>
      <c r="D89" s="18"/>
      <c r="E89" s="18"/>
      <c r="F89" s="19"/>
      <c r="G89" s="17"/>
      <c r="H89" s="18"/>
      <c r="I89" s="19"/>
      <c r="J89" s="17"/>
      <c r="K89" s="18"/>
      <c r="L89" s="19"/>
      <c r="M89" s="12"/>
      <c r="N89" s="14"/>
      <c r="O89" s="14"/>
    </row>
    <row r="91" spans="2:15" ht="15" x14ac:dyDescent="0.25">
      <c r="B91" s="2" t="s">
        <v>7</v>
      </c>
    </row>
    <row r="92" spans="2:15" ht="15" x14ac:dyDescent="0.25">
      <c r="B92" s="6" t="s">
        <v>82</v>
      </c>
      <c r="C92" s="7" t="s">
        <v>9</v>
      </c>
      <c r="D92" s="20" t="s">
        <v>59</v>
      </c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2"/>
    </row>
    <row r="93" spans="2:15" ht="15" x14ac:dyDescent="0.25">
      <c r="B93" s="8" t="s">
        <v>10</v>
      </c>
      <c r="C93" s="23" t="s">
        <v>28</v>
      </c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5"/>
    </row>
    <row r="94" spans="2:15" ht="15" x14ac:dyDescent="0.25">
      <c r="B94" s="26" t="s">
        <v>12</v>
      </c>
      <c r="C94" s="26" t="s">
        <v>13</v>
      </c>
      <c r="D94" s="27"/>
      <c r="E94" s="27"/>
      <c r="F94" s="27"/>
      <c r="G94" s="26" t="s">
        <v>14</v>
      </c>
      <c r="H94" s="27"/>
      <c r="I94" s="27"/>
      <c r="J94" s="26" t="s">
        <v>15</v>
      </c>
      <c r="K94" s="27"/>
      <c r="L94" s="27"/>
      <c r="M94" s="26" t="s">
        <v>16</v>
      </c>
      <c r="N94" s="26" t="s">
        <v>17</v>
      </c>
      <c r="O94" s="27"/>
    </row>
    <row r="95" spans="2:15" ht="15" x14ac:dyDescent="0.25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9" t="s">
        <v>18</v>
      </c>
      <c r="O95" s="9" t="s">
        <v>19</v>
      </c>
    </row>
    <row r="96" spans="2:15" ht="45" customHeight="1" x14ac:dyDescent="0.25">
      <c r="B96" s="10">
        <v>1</v>
      </c>
      <c r="C96" s="29" t="s">
        <v>55</v>
      </c>
      <c r="D96" s="18"/>
      <c r="E96" s="18"/>
      <c r="F96" s="19"/>
      <c r="G96" s="29" t="s">
        <v>56</v>
      </c>
      <c r="H96" s="18"/>
      <c r="I96" s="19"/>
      <c r="J96" s="47" t="s">
        <v>45</v>
      </c>
      <c r="K96" s="18"/>
      <c r="L96" s="19"/>
      <c r="M96" s="11" t="s">
        <v>20</v>
      </c>
      <c r="N96" s="13"/>
      <c r="O96" s="13"/>
    </row>
    <row r="97" spans="2:15" ht="15" x14ac:dyDescent="0.2">
      <c r="B97" s="10">
        <v>2</v>
      </c>
      <c r="C97" s="49" t="s">
        <v>46</v>
      </c>
      <c r="D97" s="18"/>
      <c r="E97" s="18"/>
      <c r="F97" s="19"/>
      <c r="G97" s="49" t="s">
        <v>47</v>
      </c>
      <c r="H97" s="18"/>
      <c r="I97" s="19"/>
      <c r="J97" s="49" t="s">
        <v>48</v>
      </c>
      <c r="K97" s="18"/>
      <c r="L97" s="19"/>
      <c r="M97" s="11" t="s">
        <v>20</v>
      </c>
    </row>
    <row r="98" spans="2:15" ht="15" x14ac:dyDescent="0.2">
      <c r="B98" s="10">
        <v>3</v>
      </c>
      <c r="C98" s="17" t="s">
        <v>60</v>
      </c>
      <c r="D98" s="18"/>
      <c r="E98" s="18"/>
      <c r="F98" s="19"/>
      <c r="G98" s="49" t="s">
        <v>51</v>
      </c>
      <c r="H98" s="18"/>
      <c r="I98" s="19"/>
      <c r="J98" s="29" t="s">
        <v>61</v>
      </c>
      <c r="K98" s="18"/>
      <c r="L98" s="19"/>
      <c r="M98" s="11" t="s">
        <v>20</v>
      </c>
    </row>
    <row r="99" spans="2:15" ht="15" x14ac:dyDescent="0.2">
      <c r="B99" s="10"/>
      <c r="C99" s="50"/>
      <c r="D99" s="18"/>
      <c r="E99" s="18"/>
      <c r="F99" s="19"/>
      <c r="J99" s="29"/>
      <c r="K99" s="18"/>
      <c r="L99" s="19"/>
      <c r="M99" s="11" t="s">
        <v>20</v>
      </c>
    </row>
    <row r="100" spans="2:15" ht="15" x14ac:dyDescent="0.25">
      <c r="B100" s="10"/>
      <c r="C100" s="17"/>
      <c r="D100" s="18"/>
      <c r="E100" s="18"/>
      <c r="F100" s="19"/>
      <c r="G100" s="17"/>
      <c r="H100" s="18"/>
      <c r="I100" s="19"/>
      <c r="J100" s="17"/>
      <c r="K100" s="18"/>
      <c r="L100" s="19"/>
      <c r="M100" s="12"/>
      <c r="N100" s="14"/>
      <c r="O100" s="14"/>
    </row>
    <row r="102" spans="2:15" ht="15" x14ac:dyDescent="0.25">
      <c r="B102" s="2" t="s">
        <v>7</v>
      </c>
    </row>
    <row r="103" spans="2:15" ht="15" x14ac:dyDescent="0.25">
      <c r="B103" s="6" t="s">
        <v>58</v>
      </c>
      <c r="C103" s="7" t="s">
        <v>9</v>
      </c>
      <c r="D103" s="20" t="s">
        <v>63</v>
      </c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2"/>
    </row>
    <row r="104" spans="2:15" ht="15" x14ac:dyDescent="0.25">
      <c r="B104" s="8" t="s">
        <v>10</v>
      </c>
      <c r="C104" s="23" t="s">
        <v>28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5"/>
    </row>
    <row r="105" spans="2:15" ht="15" x14ac:dyDescent="0.25">
      <c r="B105" s="26" t="s">
        <v>12</v>
      </c>
      <c r="C105" s="26" t="s">
        <v>13</v>
      </c>
      <c r="D105" s="27"/>
      <c r="E105" s="27"/>
      <c r="F105" s="27"/>
      <c r="G105" s="26" t="s">
        <v>14</v>
      </c>
      <c r="H105" s="27"/>
      <c r="I105" s="27"/>
      <c r="J105" s="26" t="s">
        <v>15</v>
      </c>
      <c r="K105" s="27"/>
      <c r="L105" s="27"/>
      <c r="M105" s="26" t="s">
        <v>16</v>
      </c>
      <c r="N105" s="26" t="s">
        <v>17</v>
      </c>
      <c r="O105" s="27"/>
    </row>
    <row r="106" spans="2:15" ht="15" x14ac:dyDescent="0.25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9" t="s">
        <v>18</v>
      </c>
      <c r="O106" s="9" t="s">
        <v>19</v>
      </c>
    </row>
    <row r="107" spans="2:15" ht="45" customHeight="1" x14ac:dyDescent="0.25">
      <c r="B107" s="10">
        <v>1</v>
      </c>
      <c r="C107" s="29" t="s">
        <v>55</v>
      </c>
      <c r="D107" s="18"/>
      <c r="E107" s="18"/>
      <c r="F107" s="19"/>
      <c r="G107" s="29" t="s">
        <v>56</v>
      </c>
      <c r="H107" s="18"/>
      <c r="I107" s="19"/>
      <c r="J107" s="47" t="s">
        <v>45</v>
      </c>
      <c r="K107" s="18"/>
      <c r="L107" s="19"/>
      <c r="M107" s="11" t="s">
        <v>20</v>
      </c>
      <c r="N107" s="13"/>
      <c r="O107" s="13"/>
    </row>
    <row r="108" spans="2:15" ht="15" x14ac:dyDescent="0.2">
      <c r="B108" s="10">
        <v>2</v>
      </c>
      <c r="C108" s="49" t="s">
        <v>46</v>
      </c>
      <c r="D108" s="18"/>
      <c r="E108" s="18"/>
      <c r="F108" s="19"/>
      <c r="G108" s="49" t="s">
        <v>47</v>
      </c>
      <c r="H108" s="18"/>
      <c r="I108" s="19"/>
      <c r="J108" s="49" t="s">
        <v>48</v>
      </c>
      <c r="K108" s="18"/>
      <c r="L108" s="19"/>
      <c r="M108" s="11" t="s">
        <v>20</v>
      </c>
    </row>
    <row r="109" spans="2:15" ht="15" x14ac:dyDescent="0.2">
      <c r="B109" s="10">
        <v>3</v>
      </c>
      <c r="C109" s="17" t="s">
        <v>49</v>
      </c>
      <c r="D109" s="18"/>
      <c r="E109" s="18"/>
      <c r="F109" s="19"/>
      <c r="G109" s="47" t="s">
        <v>45</v>
      </c>
      <c r="H109" s="18"/>
      <c r="I109" s="19"/>
      <c r="J109" s="47" t="s">
        <v>45</v>
      </c>
      <c r="K109" s="18"/>
      <c r="L109" s="19"/>
      <c r="M109" s="11" t="s">
        <v>20</v>
      </c>
    </row>
    <row r="110" spans="2:15" ht="15" x14ac:dyDescent="0.2">
      <c r="B110" s="10">
        <v>4</v>
      </c>
      <c r="C110" s="50" t="s">
        <v>64</v>
      </c>
      <c r="D110" s="18"/>
      <c r="E110" s="18"/>
      <c r="F110" s="19"/>
      <c r="G110" s="49" t="s">
        <v>51</v>
      </c>
      <c r="H110" s="18"/>
      <c r="I110" s="19"/>
      <c r="J110" s="29" t="s">
        <v>61</v>
      </c>
      <c r="K110" s="18"/>
      <c r="L110" s="19"/>
      <c r="M110" s="11" t="s">
        <v>20</v>
      </c>
    </row>
    <row r="111" spans="2:15" ht="15" x14ac:dyDescent="0.25">
      <c r="B111" s="10"/>
      <c r="C111" s="17"/>
      <c r="D111" s="18"/>
      <c r="E111" s="18"/>
      <c r="F111" s="19"/>
      <c r="G111" s="17"/>
      <c r="H111" s="18"/>
      <c r="I111" s="19"/>
      <c r="J111" s="17"/>
      <c r="K111" s="18"/>
      <c r="L111" s="19"/>
      <c r="M111" s="12"/>
      <c r="N111" s="14"/>
      <c r="O111" s="14"/>
    </row>
    <row r="113" spans="2:15" ht="15" x14ac:dyDescent="0.25">
      <c r="B113" s="2" t="s">
        <v>7</v>
      </c>
    </row>
    <row r="114" spans="2:15" ht="15" x14ac:dyDescent="0.25">
      <c r="B114" s="6" t="s">
        <v>62</v>
      </c>
      <c r="C114" s="7" t="s">
        <v>9</v>
      </c>
      <c r="D114" s="20" t="s">
        <v>66</v>
      </c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2"/>
    </row>
    <row r="115" spans="2:15" ht="15" x14ac:dyDescent="0.25">
      <c r="B115" s="8" t="s">
        <v>10</v>
      </c>
      <c r="C115" s="23" t="s">
        <v>28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5"/>
    </row>
    <row r="116" spans="2:15" ht="15" x14ac:dyDescent="0.25">
      <c r="B116" s="26" t="s">
        <v>12</v>
      </c>
      <c r="C116" s="26" t="s">
        <v>13</v>
      </c>
      <c r="D116" s="27"/>
      <c r="E116" s="27"/>
      <c r="F116" s="27"/>
      <c r="G116" s="26" t="s">
        <v>14</v>
      </c>
      <c r="H116" s="27"/>
      <c r="I116" s="27"/>
      <c r="J116" s="26" t="s">
        <v>15</v>
      </c>
      <c r="K116" s="27"/>
      <c r="L116" s="27"/>
      <c r="M116" s="26" t="s">
        <v>16</v>
      </c>
      <c r="N116" s="26" t="s">
        <v>17</v>
      </c>
      <c r="O116" s="27"/>
    </row>
    <row r="117" spans="2:15" ht="15" x14ac:dyDescent="0.25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9" t="s">
        <v>18</v>
      </c>
      <c r="O117" s="9" t="s">
        <v>19</v>
      </c>
    </row>
    <row r="118" spans="2:15" ht="45" customHeight="1" x14ac:dyDescent="0.25">
      <c r="B118" s="10">
        <v>1</v>
      </c>
      <c r="C118" s="29" t="s">
        <v>67</v>
      </c>
      <c r="D118" s="18"/>
      <c r="E118" s="18"/>
      <c r="F118" s="19"/>
      <c r="G118" s="29" t="s">
        <v>68</v>
      </c>
      <c r="H118" s="18"/>
      <c r="I118" s="19"/>
      <c r="J118" s="47" t="s">
        <v>45</v>
      </c>
      <c r="K118" s="18"/>
      <c r="L118" s="19"/>
      <c r="M118" s="11" t="s">
        <v>20</v>
      </c>
      <c r="N118" s="13"/>
      <c r="O118" s="13"/>
    </row>
    <row r="119" spans="2:15" ht="15" x14ac:dyDescent="0.2">
      <c r="B119" s="10">
        <v>2</v>
      </c>
      <c r="C119" s="49" t="s">
        <v>46</v>
      </c>
      <c r="D119" s="18"/>
      <c r="E119" s="18"/>
      <c r="F119" s="19"/>
      <c r="G119" s="49" t="s">
        <v>47</v>
      </c>
      <c r="H119" s="18"/>
      <c r="I119" s="19"/>
      <c r="J119" s="49" t="s">
        <v>48</v>
      </c>
      <c r="K119" s="18"/>
      <c r="L119" s="19"/>
      <c r="M119" s="11" t="s">
        <v>20</v>
      </c>
    </row>
    <row r="120" spans="2:15" ht="15" x14ac:dyDescent="0.2">
      <c r="B120" s="10">
        <v>3</v>
      </c>
      <c r="C120" s="17" t="s">
        <v>49</v>
      </c>
      <c r="D120" s="18"/>
      <c r="E120" s="18"/>
      <c r="F120" s="19"/>
      <c r="G120" s="47" t="s">
        <v>45</v>
      </c>
      <c r="H120" s="18"/>
      <c r="I120" s="19"/>
      <c r="J120" s="47" t="s">
        <v>45</v>
      </c>
      <c r="K120" s="18"/>
      <c r="L120" s="19"/>
      <c r="M120" s="11" t="s">
        <v>20</v>
      </c>
    </row>
    <row r="121" spans="2:15" ht="15" x14ac:dyDescent="0.2">
      <c r="B121" s="10">
        <v>4</v>
      </c>
      <c r="C121" s="50" t="s">
        <v>50</v>
      </c>
      <c r="D121" s="18"/>
      <c r="E121" s="18"/>
      <c r="F121" s="19"/>
      <c r="G121" s="49" t="s">
        <v>51</v>
      </c>
      <c r="H121" s="18"/>
      <c r="I121" s="19"/>
      <c r="J121" s="29" t="s">
        <v>69</v>
      </c>
      <c r="K121" s="18"/>
      <c r="L121" s="19"/>
      <c r="M121" s="11" t="s">
        <v>20</v>
      </c>
    </row>
    <row r="122" spans="2:15" ht="15" x14ac:dyDescent="0.25">
      <c r="B122" s="10"/>
      <c r="C122" s="17"/>
      <c r="D122" s="18"/>
      <c r="E122" s="18"/>
      <c r="F122" s="19"/>
      <c r="G122" s="17"/>
      <c r="H122" s="18"/>
      <c r="I122" s="19"/>
      <c r="J122" s="17"/>
      <c r="K122" s="18"/>
      <c r="L122" s="19"/>
      <c r="M122" s="12"/>
      <c r="N122" s="14"/>
      <c r="O122" s="14"/>
    </row>
    <row r="124" spans="2:15" ht="15" x14ac:dyDescent="0.25">
      <c r="B124" s="2" t="s">
        <v>7</v>
      </c>
    </row>
    <row r="125" spans="2:15" ht="15" x14ac:dyDescent="0.25">
      <c r="B125" s="6" t="s">
        <v>65</v>
      </c>
      <c r="C125" s="7" t="s">
        <v>9</v>
      </c>
      <c r="D125" s="20" t="s">
        <v>71</v>
      </c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2"/>
    </row>
    <row r="126" spans="2:15" ht="15" x14ac:dyDescent="0.25">
      <c r="B126" s="8" t="s">
        <v>10</v>
      </c>
      <c r="C126" s="23" t="s">
        <v>28</v>
      </c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5"/>
    </row>
    <row r="127" spans="2:15" ht="15" x14ac:dyDescent="0.25">
      <c r="B127" s="26" t="s">
        <v>12</v>
      </c>
      <c r="C127" s="26" t="s">
        <v>13</v>
      </c>
      <c r="D127" s="27"/>
      <c r="E127" s="27"/>
      <c r="F127" s="27"/>
      <c r="G127" s="26" t="s">
        <v>14</v>
      </c>
      <c r="H127" s="27"/>
      <c r="I127" s="27"/>
      <c r="J127" s="26" t="s">
        <v>15</v>
      </c>
      <c r="K127" s="27"/>
      <c r="L127" s="27"/>
      <c r="M127" s="26" t="s">
        <v>16</v>
      </c>
      <c r="N127" s="26" t="s">
        <v>17</v>
      </c>
      <c r="O127" s="27"/>
    </row>
    <row r="128" spans="2:15" ht="15" x14ac:dyDescent="0.25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9" t="s">
        <v>18</v>
      </c>
      <c r="O128" s="9" t="s">
        <v>19</v>
      </c>
    </row>
    <row r="129" spans="2:15" ht="45" customHeight="1" x14ac:dyDescent="0.25">
      <c r="B129" s="10">
        <v>1</v>
      </c>
      <c r="C129" s="29" t="s">
        <v>72</v>
      </c>
      <c r="D129" s="18"/>
      <c r="E129" s="18"/>
      <c r="F129" s="19"/>
      <c r="G129" s="29" t="s">
        <v>73</v>
      </c>
      <c r="H129" s="18"/>
      <c r="I129" s="19"/>
      <c r="J129" s="47" t="s">
        <v>45</v>
      </c>
      <c r="K129" s="18"/>
      <c r="L129" s="19"/>
      <c r="M129" s="11" t="s">
        <v>20</v>
      </c>
      <c r="N129" s="13"/>
      <c r="O129" s="13"/>
    </row>
    <row r="130" spans="2:15" ht="15" x14ac:dyDescent="0.2">
      <c r="B130" s="10">
        <v>2</v>
      </c>
      <c r="C130" s="49" t="s">
        <v>46</v>
      </c>
      <c r="D130" s="18"/>
      <c r="E130" s="18"/>
      <c r="F130" s="19"/>
      <c r="G130" s="49" t="s">
        <v>47</v>
      </c>
      <c r="H130" s="18"/>
      <c r="I130" s="19"/>
      <c r="J130" s="49" t="s">
        <v>48</v>
      </c>
      <c r="K130" s="18"/>
      <c r="L130" s="19"/>
      <c r="M130" s="11" t="s">
        <v>20</v>
      </c>
    </row>
    <row r="131" spans="2:15" ht="15" x14ac:dyDescent="0.2">
      <c r="B131" s="10">
        <v>3</v>
      </c>
      <c r="C131" s="17" t="s">
        <v>49</v>
      </c>
      <c r="D131" s="18"/>
      <c r="E131" s="18"/>
      <c r="F131" s="19"/>
      <c r="G131" s="47" t="s">
        <v>45</v>
      </c>
      <c r="H131" s="18"/>
      <c r="I131" s="19"/>
      <c r="J131" s="47" t="s">
        <v>45</v>
      </c>
      <c r="K131" s="18"/>
      <c r="L131" s="19"/>
      <c r="M131" s="11" t="s">
        <v>20</v>
      </c>
    </row>
    <row r="132" spans="2:15" ht="15" x14ac:dyDescent="0.2">
      <c r="B132" s="10">
        <v>4</v>
      </c>
      <c r="C132" s="50" t="s">
        <v>50</v>
      </c>
      <c r="D132" s="18"/>
      <c r="E132" s="18"/>
      <c r="F132" s="19"/>
      <c r="G132" s="49" t="s">
        <v>51</v>
      </c>
      <c r="H132" s="18"/>
      <c r="I132" s="19"/>
      <c r="J132" s="29" t="s">
        <v>69</v>
      </c>
      <c r="K132" s="18"/>
      <c r="L132" s="19"/>
      <c r="M132" s="11" t="s">
        <v>20</v>
      </c>
    </row>
    <row r="133" spans="2:15" ht="15" x14ac:dyDescent="0.25">
      <c r="B133" s="10"/>
      <c r="C133" s="17"/>
      <c r="D133" s="18"/>
      <c r="E133" s="18"/>
      <c r="F133" s="19"/>
      <c r="G133" s="17"/>
      <c r="H133" s="18"/>
      <c r="I133" s="19"/>
      <c r="J133" s="17"/>
      <c r="K133" s="18"/>
      <c r="L133" s="19"/>
      <c r="M133" s="12"/>
      <c r="N133" s="14"/>
      <c r="O133" s="14"/>
    </row>
    <row r="135" spans="2:15" ht="15" x14ac:dyDescent="0.25">
      <c r="B135" s="2" t="s">
        <v>7</v>
      </c>
    </row>
    <row r="136" spans="2:15" ht="15" x14ac:dyDescent="0.25">
      <c r="B136" s="6" t="s">
        <v>70</v>
      </c>
      <c r="C136" s="7" t="s">
        <v>9</v>
      </c>
      <c r="D136" s="20" t="s">
        <v>74</v>
      </c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2"/>
    </row>
    <row r="137" spans="2:15" ht="15" x14ac:dyDescent="0.25">
      <c r="B137" s="8" t="s">
        <v>10</v>
      </c>
      <c r="C137" s="23" t="s">
        <v>28</v>
      </c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5"/>
    </row>
    <row r="138" spans="2:15" ht="15" x14ac:dyDescent="0.25">
      <c r="B138" s="8" t="s">
        <v>10</v>
      </c>
      <c r="C138" s="23" t="s">
        <v>75</v>
      </c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5"/>
    </row>
    <row r="139" spans="2:15" ht="15" x14ac:dyDescent="0.25">
      <c r="B139" s="26" t="s">
        <v>12</v>
      </c>
      <c r="C139" s="26" t="s">
        <v>13</v>
      </c>
      <c r="D139" s="27"/>
      <c r="E139" s="27"/>
      <c r="F139" s="27"/>
      <c r="G139" s="26" t="s">
        <v>14</v>
      </c>
      <c r="H139" s="27"/>
      <c r="I139" s="27"/>
      <c r="J139" s="26" t="s">
        <v>15</v>
      </c>
      <c r="K139" s="27"/>
      <c r="L139" s="27"/>
      <c r="M139" s="26" t="s">
        <v>16</v>
      </c>
      <c r="N139" s="26" t="s">
        <v>17</v>
      </c>
      <c r="O139" s="27"/>
    </row>
    <row r="140" spans="2:15" ht="15" x14ac:dyDescent="0.25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9" t="s">
        <v>18</v>
      </c>
      <c r="O140" s="9" t="s">
        <v>19</v>
      </c>
    </row>
    <row r="141" spans="2:15" ht="15" x14ac:dyDescent="0.25">
      <c r="B141" s="15">
        <v>1</v>
      </c>
      <c r="C141" s="28" t="s">
        <v>83</v>
      </c>
      <c r="D141" s="18"/>
      <c r="E141" s="18"/>
      <c r="F141" s="19"/>
      <c r="G141" s="29" t="s">
        <v>76</v>
      </c>
      <c r="H141" s="18"/>
      <c r="I141" s="19"/>
      <c r="J141" s="30" t="s">
        <v>77</v>
      </c>
      <c r="K141" s="18"/>
      <c r="L141" s="19"/>
      <c r="M141" s="11" t="s">
        <v>20</v>
      </c>
      <c r="N141" s="43"/>
      <c r="O141" s="43"/>
    </row>
    <row r="142" spans="2:15" ht="15" x14ac:dyDescent="0.25">
      <c r="B142" s="10"/>
      <c r="C142" s="17"/>
      <c r="D142" s="18"/>
      <c r="E142" s="18"/>
      <c r="F142" s="19"/>
      <c r="G142" s="17"/>
      <c r="H142" s="18"/>
      <c r="I142" s="19"/>
      <c r="J142" s="17"/>
      <c r="K142" s="18"/>
      <c r="L142" s="19"/>
      <c r="M142" s="12"/>
      <c r="N142" s="44"/>
      <c r="O142" s="44"/>
    </row>
    <row r="143" spans="2:15" ht="15" x14ac:dyDescent="0.25">
      <c r="B143" s="10"/>
      <c r="C143" s="17"/>
      <c r="D143" s="18"/>
      <c r="E143" s="18"/>
      <c r="F143" s="19"/>
      <c r="G143" s="17"/>
      <c r="H143" s="18"/>
      <c r="I143" s="19"/>
      <c r="J143" s="17"/>
      <c r="K143" s="18"/>
      <c r="L143" s="19"/>
      <c r="M143" s="12"/>
      <c r="N143" s="44"/>
      <c r="O143" s="44"/>
    </row>
    <row r="144" spans="2:15" ht="15" x14ac:dyDescent="0.25">
      <c r="B144" s="10"/>
      <c r="C144" s="17"/>
      <c r="D144" s="18"/>
      <c r="E144" s="18"/>
      <c r="F144" s="19"/>
      <c r="G144" s="17"/>
      <c r="H144" s="18"/>
      <c r="I144" s="19"/>
      <c r="J144" s="17"/>
      <c r="K144" s="18"/>
      <c r="L144" s="19"/>
      <c r="M144" s="12"/>
      <c r="N144" s="44"/>
      <c r="O144" s="44"/>
    </row>
    <row r="145" spans="2:15" ht="15" x14ac:dyDescent="0.25">
      <c r="B145" s="10"/>
      <c r="C145" s="17"/>
      <c r="D145" s="18"/>
      <c r="E145" s="18"/>
      <c r="F145" s="19"/>
      <c r="G145" s="17"/>
      <c r="H145" s="18"/>
      <c r="I145" s="19"/>
      <c r="J145" s="17"/>
      <c r="K145" s="18"/>
      <c r="L145" s="19"/>
      <c r="M145" s="12"/>
      <c r="N145" s="45"/>
      <c r="O145" s="45"/>
    </row>
  </sheetData>
  <mergeCells count="305">
    <mergeCell ref="J145:L145"/>
    <mergeCell ref="C137:O137"/>
    <mergeCell ref="C138:O138"/>
    <mergeCell ref="B139:B140"/>
    <mergeCell ref="G139:I140"/>
    <mergeCell ref="J139:L140"/>
    <mergeCell ref="M139:M140"/>
    <mergeCell ref="N139:O139"/>
    <mergeCell ref="G142:I142"/>
    <mergeCell ref="J142:L142"/>
    <mergeCell ref="N141:N145"/>
    <mergeCell ref="O141:O145"/>
    <mergeCell ref="C143:F143"/>
    <mergeCell ref="G143:I143"/>
    <mergeCell ref="C142:F142"/>
    <mergeCell ref="C144:F144"/>
    <mergeCell ref="G144:I144"/>
    <mergeCell ref="J144:L144"/>
    <mergeCell ref="C145:F145"/>
    <mergeCell ref="G145:I145"/>
    <mergeCell ref="C139:F140"/>
    <mergeCell ref="C141:F141"/>
    <mergeCell ref="G141:I141"/>
    <mergeCell ref="J141:L141"/>
    <mergeCell ref="J143:L143"/>
    <mergeCell ref="G131:I131"/>
    <mergeCell ref="J131:L131"/>
    <mergeCell ref="C129:F129"/>
    <mergeCell ref="G129:I129"/>
    <mergeCell ref="J129:L129"/>
    <mergeCell ref="C130:F130"/>
    <mergeCell ref="G130:I130"/>
    <mergeCell ref="J130:L130"/>
    <mergeCell ref="C131:F131"/>
    <mergeCell ref="C74:F74"/>
    <mergeCell ref="M94:M95"/>
    <mergeCell ref="N94:O94"/>
    <mergeCell ref="C96:F96"/>
    <mergeCell ref="G96:I96"/>
    <mergeCell ref="J96:L96"/>
    <mergeCell ref="G97:I97"/>
    <mergeCell ref="J97:L97"/>
    <mergeCell ref="G120:I120"/>
    <mergeCell ref="J120:L120"/>
    <mergeCell ref="C118:F118"/>
    <mergeCell ref="G118:I118"/>
    <mergeCell ref="J118:L118"/>
    <mergeCell ref="C119:F119"/>
    <mergeCell ref="G119:I119"/>
    <mergeCell ref="J119:L119"/>
    <mergeCell ref="C120:F120"/>
    <mergeCell ref="G89:I89"/>
    <mergeCell ref="J89:L89"/>
    <mergeCell ref="D92:O92"/>
    <mergeCell ref="C93:O93"/>
    <mergeCell ref="D81:O81"/>
    <mergeCell ref="C82:O82"/>
    <mergeCell ref="C104:O104"/>
    <mergeCell ref="D69:O69"/>
    <mergeCell ref="C70:O70"/>
    <mergeCell ref="C71:O71"/>
    <mergeCell ref="B72:B73"/>
    <mergeCell ref="C72:F73"/>
    <mergeCell ref="G72:I73"/>
    <mergeCell ref="J72:L73"/>
    <mergeCell ref="M72:M73"/>
    <mergeCell ref="N72:O72"/>
    <mergeCell ref="J62:L62"/>
    <mergeCell ref="N62:N66"/>
    <mergeCell ref="O62:O66"/>
    <mergeCell ref="J63:L63"/>
    <mergeCell ref="J64:L64"/>
    <mergeCell ref="C65:F65"/>
    <mergeCell ref="G65:I65"/>
    <mergeCell ref="C66:F66"/>
    <mergeCell ref="G66:I66"/>
    <mergeCell ref="B94:B95"/>
    <mergeCell ref="C94:F95"/>
    <mergeCell ref="J54:L54"/>
    <mergeCell ref="C56:O56"/>
    <mergeCell ref="D58:O58"/>
    <mergeCell ref="C59:O59"/>
    <mergeCell ref="B60:B61"/>
    <mergeCell ref="G60:I61"/>
    <mergeCell ref="N60:O60"/>
    <mergeCell ref="C60:F61"/>
    <mergeCell ref="C62:F62"/>
    <mergeCell ref="G62:I62"/>
    <mergeCell ref="C63:F63"/>
    <mergeCell ref="G63:I63"/>
    <mergeCell ref="C64:F64"/>
    <mergeCell ref="G64:I64"/>
    <mergeCell ref="J65:L65"/>
    <mergeCell ref="J66:L66"/>
    <mergeCell ref="J60:L61"/>
    <mergeCell ref="M60:M61"/>
    <mergeCell ref="C75:F75"/>
    <mergeCell ref="C76:F76"/>
    <mergeCell ref="C77:F77"/>
    <mergeCell ref="C78:F78"/>
    <mergeCell ref="B83:B84"/>
    <mergeCell ref="N83:O83"/>
    <mergeCell ref="J83:L84"/>
    <mergeCell ref="M83:M84"/>
    <mergeCell ref="C132:F132"/>
    <mergeCell ref="G132:I132"/>
    <mergeCell ref="J132:L132"/>
    <mergeCell ref="C133:F133"/>
    <mergeCell ref="G133:I133"/>
    <mergeCell ref="J133:L133"/>
    <mergeCell ref="D114:O114"/>
    <mergeCell ref="C115:O115"/>
    <mergeCell ref="B116:B117"/>
    <mergeCell ref="C116:F117"/>
    <mergeCell ref="G116:I117"/>
    <mergeCell ref="J116:L117"/>
    <mergeCell ref="M116:M117"/>
    <mergeCell ref="N116:O116"/>
    <mergeCell ref="J107:L107"/>
    <mergeCell ref="J108:L108"/>
    <mergeCell ref="J109:L109"/>
    <mergeCell ref="G100:I100"/>
    <mergeCell ref="J100:L100"/>
    <mergeCell ref="D103:O103"/>
    <mergeCell ref="D136:O136"/>
    <mergeCell ref="C83:F84"/>
    <mergeCell ref="G83:I84"/>
    <mergeCell ref="C85:F85"/>
    <mergeCell ref="G85:I85"/>
    <mergeCell ref="J85:L85"/>
    <mergeCell ref="G86:I86"/>
    <mergeCell ref="J86:L86"/>
    <mergeCell ref="C86:F86"/>
    <mergeCell ref="C87:F87"/>
    <mergeCell ref="G87:I87"/>
    <mergeCell ref="J87:L87"/>
    <mergeCell ref="C88:F88"/>
    <mergeCell ref="G88:I88"/>
    <mergeCell ref="J88:L88"/>
    <mergeCell ref="G94:I95"/>
    <mergeCell ref="J94:L95"/>
    <mergeCell ref="C89:F89"/>
    <mergeCell ref="C110:F110"/>
    <mergeCell ref="G110:I110"/>
    <mergeCell ref="J110:L110"/>
    <mergeCell ref="C111:F111"/>
    <mergeCell ref="G111:I111"/>
    <mergeCell ref="J111:L111"/>
    <mergeCell ref="B105:B106"/>
    <mergeCell ref="G105:I106"/>
    <mergeCell ref="N105:O105"/>
    <mergeCell ref="C105:F106"/>
    <mergeCell ref="C107:F107"/>
    <mergeCell ref="G107:I107"/>
    <mergeCell ref="C108:F108"/>
    <mergeCell ref="G108:I108"/>
    <mergeCell ref="C109:F109"/>
    <mergeCell ref="G109:I109"/>
    <mergeCell ref="C97:F97"/>
    <mergeCell ref="C98:F98"/>
    <mergeCell ref="G98:I98"/>
    <mergeCell ref="J98:L98"/>
    <mergeCell ref="C99:F99"/>
    <mergeCell ref="J99:L99"/>
    <mergeCell ref="C100:F100"/>
    <mergeCell ref="J105:L106"/>
    <mergeCell ref="M105:M106"/>
    <mergeCell ref="C121:F121"/>
    <mergeCell ref="G121:I121"/>
    <mergeCell ref="J121:L121"/>
    <mergeCell ref="C122:F122"/>
    <mergeCell ref="G122:I122"/>
    <mergeCell ref="J122:L122"/>
    <mergeCell ref="D125:O125"/>
    <mergeCell ref="C126:O126"/>
    <mergeCell ref="B127:B128"/>
    <mergeCell ref="C127:F128"/>
    <mergeCell ref="G127:I128"/>
    <mergeCell ref="J127:L128"/>
    <mergeCell ref="M127:M128"/>
    <mergeCell ref="N127:O127"/>
    <mergeCell ref="G76:I76"/>
    <mergeCell ref="G77:I77"/>
    <mergeCell ref="J77:L77"/>
    <mergeCell ref="G78:I78"/>
    <mergeCell ref="J78:L78"/>
    <mergeCell ref="G74:I74"/>
    <mergeCell ref="J74:L74"/>
    <mergeCell ref="N74:N78"/>
    <mergeCell ref="O74:O78"/>
    <mergeCell ref="G75:I75"/>
    <mergeCell ref="J75:L75"/>
    <mergeCell ref="J76:L76"/>
    <mergeCell ref="B48:B49"/>
    <mergeCell ref="G48:I49"/>
    <mergeCell ref="J48:L49"/>
    <mergeCell ref="M48:M49"/>
    <mergeCell ref="N48:O48"/>
    <mergeCell ref="G51:I51"/>
    <mergeCell ref="J51:L51"/>
    <mergeCell ref="C52:F52"/>
    <mergeCell ref="G52:I52"/>
    <mergeCell ref="C51:F51"/>
    <mergeCell ref="N50:N54"/>
    <mergeCell ref="O50:O54"/>
    <mergeCell ref="C53:F53"/>
    <mergeCell ref="G53:I53"/>
    <mergeCell ref="J53:L53"/>
    <mergeCell ref="C54:F54"/>
    <mergeCell ref="G54:I54"/>
    <mergeCell ref="C48:F49"/>
    <mergeCell ref="C50:F50"/>
    <mergeCell ref="G50:I50"/>
    <mergeCell ref="J50:L50"/>
    <mergeCell ref="J52:L52"/>
    <mergeCell ref="C41:F41"/>
    <mergeCell ref="G41:I41"/>
    <mergeCell ref="J41:L41"/>
    <mergeCell ref="C42:F42"/>
    <mergeCell ref="G42:I42"/>
    <mergeCell ref="J42:L42"/>
    <mergeCell ref="C44:O44"/>
    <mergeCell ref="D46:O46"/>
    <mergeCell ref="C47:O47"/>
    <mergeCell ref="M14:M15"/>
    <mergeCell ref="N14:O14"/>
    <mergeCell ref="N16:N20"/>
    <mergeCell ref="O16:O20"/>
    <mergeCell ref="N27:N31"/>
    <mergeCell ref="O27:O31"/>
    <mergeCell ref="N38:N42"/>
    <mergeCell ref="O38:O42"/>
    <mergeCell ref="B10:O10"/>
    <mergeCell ref="D12:O12"/>
    <mergeCell ref="C13:O13"/>
    <mergeCell ref="B14:B15"/>
    <mergeCell ref="C14:F15"/>
    <mergeCell ref="G14:I15"/>
    <mergeCell ref="J14:L15"/>
    <mergeCell ref="G18:I18"/>
    <mergeCell ref="J18:L18"/>
    <mergeCell ref="C16:F16"/>
    <mergeCell ref="G16:I16"/>
    <mergeCell ref="J16:L16"/>
    <mergeCell ref="C17:F17"/>
    <mergeCell ref="G17:I17"/>
    <mergeCell ref="J17:L17"/>
    <mergeCell ref="C18:F18"/>
    <mergeCell ref="B2:C5"/>
    <mergeCell ref="B8:C8"/>
    <mergeCell ref="B9:C9"/>
    <mergeCell ref="D9:F9"/>
    <mergeCell ref="D2:M3"/>
    <mergeCell ref="N2:N3"/>
    <mergeCell ref="O2:O3"/>
    <mergeCell ref="D4:M5"/>
    <mergeCell ref="N4:N5"/>
    <mergeCell ref="O4:O5"/>
    <mergeCell ref="B7:O7"/>
    <mergeCell ref="G40:I40"/>
    <mergeCell ref="J40:L40"/>
    <mergeCell ref="C38:F38"/>
    <mergeCell ref="G38:I38"/>
    <mergeCell ref="J38:L38"/>
    <mergeCell ref="C39:F39"/>
    <mergeCell ref="G39:I39"/>
    <mergeCell ref="J39:L39"/>
    <mergeCell ref="C40:F40"/>
    <mergeCell ref="C30:F30"/>
    <mergeCell ref="G30:I30"/>
    <mergeCell ref="J30:L30"/>
    <mergeCell ref="C31:F31"/>
    <mergeCell ref="G31:I31"/>
    <mergeCell ref="J31:L31"/>
    <mergeCell ref="D34:O34"/>
    <mergeCell ref="C35:O35"/>
    <mergeCell ref="B36:B37"/>
    <mergeCell ref="C36:F37"/>
    <mergeCell ref="G36:I37"/>
    <mergeCell ref="J36:L37"/>
    <mergeCell ref="M36:M37"/>
    <mergeCell ref="N36:O36"/>
    <mergeCell ref="G29:I29"/>
    <mergeCell ref="J29:L29"/>
    <mergeCell ref="C27:F27"/>
    <mergeCell ref="G27:I27"/>
    <mergeCell ref="J27:L27"/>
    <mergeCell ref="C28:F28"/>
    <mergeCell ref="G28:I28"/>
    <mergeCell ref="J28:L28"/>
    <mergeCell ref="C29:F29"/>
    <mergeCell ref="C19:F19"/>
    <mergeCell ref="G19:I19"/>
    <mergeCell ref="J19:L19"/>
    <mergeCell ref="C20:F20"/>
    <mergeCell ref="G20:I20"/>
    <mergeCell ref="J20:L20"/>
    <mergeCell ref="D23:O23"/>
    <mergeCell ref="C24:O24"/>
    <mergeCell ref="B25:B26"/>
    <mergeCell ref="C25:F26"/>
    <mergeCell ref="G25:I26"/>
    <mergeCell ref="J25:L26"/>
    <mergeCell ref="M25:M26"/>
    <mergeCell ref="N25:O25"/>
  </mergeCells>
  <dataValidations count="1">
    <dataValidation type="list" allowBlank="1" showErrorMessage="1" sqref="C12 C23 C34 C46 C58 C69 C81 C92 C103 C114 C125 C136" xr:uid="{00000000-0002-0000-0100-000000000000}">
      <formula1>"SUCESSO,FALHA,NÃO TESTADO"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Gráficos</vt:lpstr>
      </vt:variant>
      <vt:variant>
        <vt:i4>3</vt:i4>
      </vt:variant>
    </vt:vector>
  </HeadingPairs>
  <TitlesOfParts>
    <vt:vector size="5" baseType="lpstr">
      <vt:lpstr>Casos de Testes Funcionais - Li</vt:lpstr>
      <vt:lpstr>Casos de Testes Funcionais - Pe</vt:lpstr>
      <vt:lpstr>Gráfico3</vt:lpstr>
      <vt:lpstr>Gráfico2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Daniela de Abreu</dc:creator>
  <cp:lastModifiedBy>JOSE REINALDO GOMES BEZERRA</cp:lastModifiedBy>
  <dcterms:created xsi:type="dcterms:W3CDTF">2023-12-07T14:44:18Z</dcterms:created>
  <dcterms:modified xsi:type="dcterms:W3CDTF">2025-12-02T12:58:19Z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2025-12-02T12:41:26Z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02806b6e-4e1b-4c70-8afc-076ff5edb81c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